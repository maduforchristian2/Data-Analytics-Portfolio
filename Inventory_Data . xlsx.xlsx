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DUFOR CHRISTIAN\Documents\DATA ANALYST PORTFOLIO\PROJECT_03_Inventory_Analysis_Data PRACTICE\"/>
    </mc:Choice>
  </mc:AlternateContent>
  <xr:revisionPtr revIDLastSave="0" documentId="8_{7A34BEA2-B20D-4BB3-A175-445F2746991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calcPr calcId="191029"/>
  <pivotCaches>
    <pivotCache cacheId="5" r:id="rId3"/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0" i="1"/>
  <c r="L3" i="1"/>
  <c r="L4" i="1"/>
  <c r="L5" i="1"/>
  <c r="L6" i="1"/>
  <c r="L7" i="1"/>
  <c r="L8" i="1"/>
  <c r="L9" i="1"/>
  <c r="L10" i="1"/>
  <c r="L11" i="1"/>
  <c r="L12" i="1"/>
  <c r="L13" i="1"/>
  <c r="L2" i="1"/>
  <c r="E19" i="1"/>
</calcChain>
</file>

<file path=xl/sharedStrings.xml><?xml version="1.0" encoding="utf-8"?>
<sst xmlns="http://schemas.openxmlformats.org/spreadsheetml/2006/main" count="165" uniqueCount="74">
  <si>
    <t>Item_ID</t>
  </si>
  <si>
    <t>Product</t>
  </si>
  <si>
    <t>Category</t>
  </si>
  <si>
    <t>Supplier</t>
  </si>
  <si>
    <t>Warehouse</t>
  </si>
  <si>
    <t>Stock_In</t>
  </si>
  <si>
    <t>Stock_Out</t>
  </si>
  <si>
    <t>Current_Stock</t>
  </si>
  <si>
    <t>Unit_Cost</t>
  </si>
  <si>
    <t>Reorder_Level</t>
  </si>
  <si>
    <t>Date</t>
  </si>
  <si>
    <t>Laptop</t>
  </si>
  <si>
    <t>Electronics</t>
  </si>
  <si>
    <t>Dell</t>
  </si>
  <si>
    <t>Lagos</t>
  </si>
  <si>
    <t>2026-07-01</t>
  </si>
  <si>
    <t>Mouse</t>
  </si>
  <si>
    <t>Accessories</t>
  </si>
  <si>
    <t>Logitech</t>
  </si>
  <si>
    <t>Abuja</t>
  </si>
  <si>
    <t>Keyboard</t>
  </si>
  <si>
    <t>HP</t>
  </si>
  <si>
    <t>Port Harcourt</t>
  </si>
  <si>
    <t>2026-07-02</t>
  </si>
  <si>
    <t>Monitor</t>
  </si>
  <si>
    <t>Samsung</t>
  </si>
  <si>
    <t>Printer</t>
  </si>
  <si>
    <t>Office</t>
  </si>
  <si>
    <t>Canon</t>
  </si>
  <si>
    <t>Enugu</t>
  </si>
  <si>
    <t>2026-07-03</t>
  </si>
  <si>
    <t>Chair</t>
  </si>
  <si>
    <t>Vitafoam</t>
  </si>
  <si>
    <t>Desk</t>
  </si>
  <si>
    <t>IKEA</t>
  </si>
  <si>
    <t>2026-07-04</t>
  </si>
  <si>
    <t>Router</t>
  </si>
  <si>
    <t>TP-Link</t>
  </si>
  <si>
    <t>Flash Drive</t>
  </si>
  <si>
    <t>SanDisk</t>
  </si>
  <si>
    <t>2026-07-05</t>
  </si>
  <si>
    <t>Scanner</t>
  </si>
  <si>
    <t>Epson</t>
  </si>
  <si>
    <t>Projector</t>
  </si>
  <si>
    <t>BenQ</t>
  </si>
  <si>
    <t>2026-07-06</t>
  </si>
  <si>
    <t>UPS</t>
  </si>
  <si>
    <t>APC</t>
  </si>
  <si>
    <t>what product should be reordered?</t>
  </si>
  <si>
    <t>which supplies supplies the most products?</t>
  </si>
  <si>
    <t>which warehouse has the least stock?</t>
  </si>
  <si>
    <t>which product has the highest unit cost?</t>
  </si>
  <si>
    <t>which warehouse has the highest stock?</t>
  </si>
  <si>
    <t>which product has the highest current stock?</t>
  </si>
  <si>
    <t>which category has the most product?</t>
  </si>
  <si>
    <t>what is the total current stock ?</t>
  </si>
  <si>
    <t>what is the total inventory value?</t>
  </si>
  <si>
    <t>Abuja warehouse</t>
  </si>
  <si>
    <t>which category has the  highest inventory value?</t>
  </si>
  <si>
    <t>Flashdrive</t>
  </si>
  <si>
    <t>Row Labels</t>
  </si>
  <si>
    <t>Grand Total</t>
  </si>
  <si>
    <t>Sum of Stock_In</t>
  </si>
  <si>
    <t>Sum of Current_Stock</t>
  </si>
  <si>
    <t>Count of Product</t>
  </si>
  <si>
    <t>Max of Current_Stock</t>
  </si>
  <si>
    <t>Sum of Reorder_Level</t>
  </si>
  <si>
    <t>Inventory Value</t>
  </si>
  <si>
    <t>no product yet needed</t>
  </si>
  <si>
    <t>All Supplier Supplies once</t>
  </si>
  <si>
    <t>Enugu 53</t>
  </si>
  <si>
    <t>Sum of Inventory Value</t>
  </si>
  <si>
    <t>Max of Unit_Cost</t>
  </si>
  <si>
    <t>Electronics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</si>
</sst>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UFOR CHRISTIAN" refreshedDate="46212.366284490738" createdVersion="8" refreshedVersion="8" minRefreshableVersion="3" recordCount="12" xr:uid="{A68BCB3D-F7EC-42C1-8B2F-69526B988C2F}">
  <cacheSource type="worksheet">
    <worksheetSource ref="A1:K13" sheet="Sheet"/>
  </cacheSource>
  <cacheFields count="11">
    <cacheField name="Item_ID" numFmtId="0">
      <sharedItems containsSemiMixedTypes="0" containsString="0" containsNumber="1" containsInteger="1" minValue="1001" maxValue="1012"/>
    </cacheField>
    <cacheField name="Product" numFmtId="0">
      <sharedItems count="12">
        <s v="Laptop"/>
        <s v="Mouse"/>
        <s v="Keyboard"/>
        <s v="Monitor"/>
        <s v="Printer"/>
        <s v="Chair"/>
        <s v="Desk"/>
        <s v="Router"/>
        <s v="Flash Drive"/>
        <s v="Scanner"/>
        <s v="Projector"/>
        <s v="UPS"/>
      </sharedItems>
    </cacheField>
    <cacheField name="Category" numFmtId="0">
      <sharedItems count="3">
        <s v="Electronics"/>
        <s v="Accessories"/>
        <s v="Office"/>
      </sharedItems>
    </cacheField>
    <cacheField name="Supplier" numFmtId="0">
      <sharedItems count="12">
        <s v="Dell"/>
        <s v="Logitech"/>
        <s v="HP"/>
        <s v="Samsung"/>
        <s v="Canon"/>
        <s v="Vitafoam"/>
        <s v="IKEA"/>
        <s v="TP-Link"/>
        <s v="SanDisk"/>
        <s v="Epson"/>
        <s v="BenQ"/>
        <s v="APC"/>
      </sharedItems>
    </cacheField>
    <cacheField name="Warehouse" numFmtId="0">
      <sharedItems count="4">
        <s v="Lagos"/>
        <s v="Abuja"/>
        <s v="Port Harcourt"/>
        <s v="Enugu"/>
      </sharedItems>
    </cacheField>
    <cacheField name="Stock_In" numFmtId="0">
      <sharedItems containsSemiMixedTypes="0" containsString="0" containsNumber="1" containsInteger="1" minValue="10" maxValue="150" count="11">
        <n v="20"/>
        <n v="100"/>
        <n v="60"/>
        <n v="25"/>
        <n v="15"/>
        <n v="40"/>
        <n v="30"/>
        <n v="150"/>
        <n v="10"/>
        <n v="12"/>
        <n v="18"/>
      </sharedItems>
    </cacheField>
    <cacheField name="Stock_Out" numFmtId="0">
      <sharedItems containsSemiMixedTypes="0" containsString="0" containsNumber="1" containsInteger="1" minValue="2" maxValue="40"/>
    </cacheField>
    <cacheField name="Current_Stock" numFmtId="0">
      <sharedItems containsSemiMixedTypes="0" containsString="0" containsNumber="1" containsInteger="1" minValue="7" maxValue="110" count="11">
        <n v="15"/>
        <n v="70"/>
        <n v="42"/>
        <n v="17"/>
        <n v="11"/>
        <n v="30"/>
        <n v="18"/>
        <n v="110"/>
        <n v="7"/>
        <n v="10"/>
        <n v="12"/>
      </sharedItems>
    </cacheField>
    <cacheField name="Unit_Cost" numFmtId="0">
      <sharedItems containsSemiMixedTypes="0" containsString="0" containsNumber="1" containsInteger="1" minValue="12000" maxValue="450000" count="12">
        <n v="450000"/>
        <n v="15000"/>
        <n v="25000"/>
        <n v="120000"/>
        <n v="180000"/>
        <n v="55000"/>
        <n v="85000"/>
        <n v="65000"/>
        <n v="12000"/>
        <n v="95000"/>
        <n v="350000"/>
        <n v="80000"/>
      </sharedItems>
    </cacheField>
    <cacheField name="Reorder_Level" numFmtId="0">
      <sharedItems containsSemiMixedTypes="0" containsString="0" containsNumber="1" containsInteger="1" minValue="4" maxValue="30"/>
    </cacheField>
    <cacheField name="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UFOR CHRISTIAN" refreshedDate="46213.203776273149" createdVersion="8" refreshedVersion="8" minRefreshableVersion="3" recordCount="12" xr:uid="{EC044E60-FAF2-4A35-8528-55721ECD1B9A}">
  <cacheSource type="worksheet">
    <worksheetSource ref="A1:L13" sheet="Sheet"/>
  </cacheSource>
  <cacheFields count="12">
    <cacheField name="Item_ID" numFmtId="0">
      <sharedItems containsSemiMixedTypes="0" containsString="0" containsNumber="1" containsInteger="1" minValue="1001" maxValue="1012"/>
    </cacheField>
    <cacheField name="Product" numFmtId="0">
      <sharedItems/>
    </cacheField>
    <cacheField name="Category" numFmtId="0">
      <sharedItems/>
    </cacheField>
    <cacheField name="Supplier" numFmtId="0">
      <sharedItems/>
    </cacheField>
    <cacheField name="Warehouse" numFmtId="0">
      <sharedItems/>
    </cacheField>
    <cacheField name="Stock_In" numFmtId="0">
      <sharedItems containsSemiMixedTypes="0" containsString="0" containsNumber="1" containsInteger="1" minValue="10" maxValue="150"/>
    </cacheField>
    <cacheField name="Stock_Out" numFmtId="0">
      <sharedItems containsSemiMixedTypes="0" containsString="0" containsNumber="1" containsInteger="1" minValue="2" maxValue="40"/>
    </cacheField>
    <cacheField name="Current_Stock" numFmtId="0">
      <sharedItems containsSemiMixedTypes="0" containsString="0" containsNumber="1" containsInteger="1" minValue="7" maxValue="110"/>
    </cacheField>
    <cacheField name="Unit_Cost" numFmtId="0">
      <sharedItems containsSemiMixedTypes="0" containsString="0" containsNumber="1" containsInteger="1" minValue="12000" maxValue="450000"/>
    </cacheField>
    <cacheField name="Reorder_Level" numFmtId="0">
      <sharedItems containsSemiMixedTypes="0" containsString="0" containsNumber="1" containsInteger="1" minValue="4" maxValue="30"/>
    </cacheField>
    <cacheField name="Date" numFmtId="0">
      <sharedItems/>
    </cacheField>
    <cacheField name="Inventory Value" numFmtId="0">
      <sharedItems containsSemiMixedTypes="0" containsString="0" containsNumber="1" containsInteger="1" minValue="665000" maxValue="6750000" count="11">
        <n v="6750000"/>
        <n v="1050000"/>
        <n v="2040000"/>
        <n v="1980000"/>
        <n v="1650000"/>
        <n v="1275000"/>
        <n v="1170000"/>
        <n v="1320000"/>
        <n v="665000"/>
        <n v="3500000"/>
        <n v="96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01"/>
    <x v="0"/>
    <x v="0"/>
    <x v="0"/>
    <x v="0"/>
    <x v="0"/>
    <n v="5"/>
    <x v="0"/>
    <x v="0"/>
    <n v="10"/>
    <s v="2026-07-01"/>
  </r>
  <r>
    <n v="1002"/>
    <x v="1"/>
    <x v="1"/>
    <x v="1"/>
    <x v="1"/>
    <x v="1"/>
    <n v="30"/>
    <x v="1"/>
    <x v="1"/>
    <n v="20"/>
    <s v="2026-07-01"/>
  </r>
  <r>
    <n v="1003"/>
    <x v="2"/>
    <x v="1"/>
    <x v="2"/>
    <x v="2"/>
    <x v="2"/>
    <n v="18"/>
    <x v="2"/>
    <x v="2"/>
    <n v="15"/>
    <s v="2026-07-02"/>
  </r>
  <r>
    <n v="1004"/>
    <x v="3"/>
    <x v="0"/>
    <x v="3"/>
    <x v="0"/>
    <x v="3"/>
    <n v="8"/>
    <x v="3"/>
    <x v="3"/>
    <n v="8"/>
    <s v="2026-07-02"/>
  </r>
  <r>
    <n v="1005"/>
    <x v="4"/>
    <x v="2"/>
    <x v="4"/>
    <x v="3"/>
    <x v="4"/>
    <n v="4"/>
    <x v="4"/>
    <x v="4"/>
    <n v="5"/>
    <s v="2026-07-03"/>
  </r>
  <r>
    <n v="1006"/>
    <x v="5"/>
    <x v="2"/>
    <x v="5"/>
    <x v="1"/>
    <x v="5"/>
    <n v="10"/>
    <x v="5"/>
    <x v="5"/>
    <n v="10"/>
    <s v="2026-07-03"/>
  </r>
  <r>
    <n v="1007"/>
    <x v="6"/>
    <x v="2"/>
    <x v="6"/>
    <x v="3"/>
    <x v="0"/>
    <n v="5"/>
    <x v="0"/>
    <x v="6"/>
    <n v="5"/>
    <s v="2026-07-04"/>
  </r>
  <r>
    <n v="1008"/>
    <x v="7"/>
    <x v="0"/>
    <x v="7"/>
    <x v="0"/>
    <x v="6"/>
    <n v="12"/>
    <x v="6"/>
    <x v="7"/>
    <n v="8"/>
    <s v="2026-07-04"/>
  </r>
  <r>
    <n v="1009"/>
    <x v="8"/>
    <x v="1"/>
    <x v="8"/>
    <x v="1"/>
    <x v="7"/>
    <n v="40"/>
    <x v="7"/>
    <x v="8"/>
    <n v="30"/>
    <s v="2026-07-05"/>
  </r>
  <r>
    <n v="1010"/>
    <x v="9"/>
    <x v="2"/>
    <x v="9"/>
    <x v="2"/>
    <x v="8"/>
    <n v="3"/>
    <x v="8"/>
    <x v="9"/>
    <n v="4"/>
    <s v="2026-07-05"/>
  </r>
  <r>
    <n v="1011"/>
    <x v="10"/>
    <x v="0"/>
    <x v="10"/>
    <x v="0"/>
    <x v="9"/>
    <n v="2"/>
    <x v="9"/>
    <x v="10"/>
    <n v="4"/>
    <s v="2026-07-06"/>
  </r>
  <r>
    <n v="1012"/>
    <x v="11"/>
    <x v="0"/>
    <x v="11"/>
    <x v="3"/>
    <x v="10"/>
    <n v="6"/>
    <x v="10"/>
    <x v="11"/>
    <n v="6"/>
    <s v="2026-07-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01"/>
    <s v="Laptop"/>
    <s v="Electronics"/>
    <s v="Dell"/>
    <s v="Lagos"/>
    <n v="20"/>
    <n v="5"/>
    <n v="15"/>
    <n v="450000"/>
    <n v="10"/>
    <s v="2026-07-01"/>
    <x v="0"/>
  </r>
  <r>
    <n v="1002"/>
    <s v="Mouse"/>
    <s v="Accessories"/>
    <s v="Logitech"/>
    <s v="Abuja"/>
    <n v="100"/>
    <n v="30"/>
    <n v="70"/>
    <n v="15000"/>
    <n v="20"/>
    <s v="2026-07-01"/>
    <x v="1"/>
  </r>
  <r>
    <n v="1003"/>
    <s v="Keyboard"/>
    <s v="Accessories"/>
    <s v="HP"/>
    <s v="Port Harcourt"/>
    <n v="60"/>
    <n v="18"/>
    <n v="42"/>
    <n v="25000"/>
    <n v="15"/>
    <s v="2026-07-02"/>
    <x v="1"/>
  </r>
  <r>
    <n v="1004"/>
    <s v="Monitor"/>
    <s v="Electronics"/>
    <s v="Samsung"/>
    <s v="Lagos"/>
    <n v="25"/>
    <n v="8"/>
    <n v="17"/>
    <n v="120000"/>
    <n v="8"/>
    <s v="2026-07-02"/>
    <x v="2"/>
  </r>
  <r>
    <n v="1005"/>
    <s v="Printer"/>
    <s v="Office"/>
    <s v="Canon"/>
    <s v="Enugu"/>
    <n v="15"/>
    <n v="4"/>
    <n v="11"/>
    <n v="180000"/>
    <n v="5"/>
    <s v="2026-07-03"/>
    <x v="3"/>
  </r>
  <r>
    <n v="1006"/>
    <s v="Chair"/>
    <s v="Office"/>
    <s v="Vitafoam"/>
    <s v="Abuja"/>
    <n v="40"/>
    <n v="10"/>
    <n v="30"/>
    <n v="55000"/>
    <n v="10"/>
    <s v="2026-07-03"/>
    <x v="4"/>
  </r>
  <r>
    <n v="1007"/>
    <s v="Desk"/>
    <s v="Office"/>
    <s v="IKEA"/>
    <s v="Enugu"/>
    <n v="20"/>
    <n v="5"/>
    <n v="15"/>
    <n v="85000"/>
    <n v="5"/>
    <s v="2026-07-04"/>
    <x v="5"/>
  </r>
  <r>
    <n v="1008"/>
    <s v="Router"/>
    <s v="Electronics"/>
    <s v="TP-Link"/>
    <s v="Lagos"/>
    <n v="30"/>
    <n v="12"/>
    <n v="18"/>
    <n v="65000"/>
    <n v="8"/>
    <s v="2026-07-04"/>
    <x v="6"/>
  </r>
  <r>
    <n v="1009"/>
    <s v="Flash Drive"/>
    <s v="Accessories"/>
    <s v="SanDisk"/>
    <s v="Abuja"/>
    <n v="150"/>
    <n v="40"/>
    <n v="110"/>
    <n v="12000"/>
    <n v="30"/>
    <s v="2026-07-05"/>
    <x v="7"/>
  </r>
  <r>
    <n v="1010"/>
    <s v="Scanner"/>
    <s v="Office"/>
    <s v="Epson"/>
    <s v="Port Harcourt"/>
    <n v="10"/>
    <n v="3"/>
    <n v="7"/>
    <n v="95000"/>
    <n v="4"/>
    <s v="2026-07-05"/>
    <x v="8"/>
  </r>
  <r>
    <n v="1011"/>
    <s v="Projector"/>
    <s v="Electronics"/>
    <s v="BenQ"/>
    <s v="Lagos"/>
    <n v="12"/>
    <n v="2"/>
    <n v="10"/>
    <n v="350000"/>
    <n v="4"/>
    <s v="2026-07-06"/>
    <x v="9"/>
  </r>
  <r>
    <n v="1012"/>
    <s v="UPS"/>
    <s v="Electronics"/>
    <s v="APC"/>
    <s v="Enugu"/>
    <n v="18"/>
    <n v="6"/>
    <n v="12"/>
    <n v="80000"/>
    <n v="6"/>
    <s v="2026-07-06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E0C0B-2781-4E1B-A127-B49CA028AA6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2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8"/>
        <item x="10"/>
        <item x="1"/>
        <item x="6"/>
        <item x="5"/>
        <item x="7"/>
        <item x="4"/>
        <item x="3"/>
        <item x="2"/>
        <item x="9"/>
        <item x="0"/>
        <item t="default"/>
      </items>
    </pivotField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Inventory Val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76BBA-ED3E-4669-8D19-520D04CE86E0}" name="PivotTable5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2:J1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8"/>
        <item x="9"/>
        <item x="4"/>
        <item x="10"/>
        <item x="0"/>
        <item x="3"/>
        <item x="6"/>
        <item x="5"/>
        <item x="2"/>
        <item x="1"/>
        <item x="7"/>
        <item t="default"/>
      </items>
    </pivotField>
    <pivotField axis="axisRow" dataField="1" showAll="0">
      <items count="13">
        <item x="8"/>
        <item x="1"/>
        <item x="2"/>
        <item x="5"/>
        <item x="7"/>
        <item x="11"/>
        <item x="6"/>
        <item x="9"/>
        <item x="3"/>
        <item x="4"/>
        <item x="10"/>
        <item x="0"/>
        <item t="default"/>
      </items>
    </pivotField>
    <pivotField showAll="0"/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ax of Unit_Cost" fld="8" subtotal="max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2B743-9958-4322-AE8D-9D0F3AD877E3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I36" firstHeaderRow="1" firstDataRow="1" firstDataCol="1"/>
  <pivotFields count="11">
    <pivotField showAll="0"/>
    <pivotField axis="axisRow" showAll="0">
      <items count="13">
        <item x="5"/>
        <item x="6"/>
        <item x="8"/>
        <item x="2"/>
        <item x="0"/>
        <item x="3"/>
        <item x="1"/>
        <item x="4"/>
        <item x="10"/>
        <item x="7"/>
        <item x="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order_Leve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3735C-33D9-4A47-8CE4-757FDE216ECB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2" firstHeaderRow="1" firstDataRow="1" firstDataCol="1"/>
  <pivotFields count="11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rrent_Stock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312E8-E373-4B35-970F-EEA41B6F8784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11">
    <pivotField showAll="0"/>
    <pivotField dataField="1" showAll="0">
      <items count="13">
        <item x="5"/>
        <item x="6"/>
        <item x="8"/>
        <item x="2"/>
        <item x="0"/>
        <item x="3"/>
        <item x="1"/>
        <item x="4"/>
        <item x="10"/>
        <item x="7"/>
        <item x="9"/>
        <item x="1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3F4C3-F07A-4BE6-B5BC-84510ABA83E4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4:H19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>
      <items count="12">
        <item x="8"/>
        <item x="9"/>
        <item x="4"/>
        <item x="10"/>
        <item x="0"/>
        <item x="3"/>
        <item x="6"/>
        <item x="5"/>
        <item x="2"/>
        <item x="1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tock_In" fld="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8B82E-F6ED-4CB2-B82D-02DBF45E171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6" firstHeaderRow="1" firstDataRow="1" firstDataCol="1"/>
  <pivotFields count="11">
    <pivotField showAll="0"/>
    <pivotField axis="axisRow" showAll="0">
      <items count="13">
        <item x="5"/>
        <item x="6"/>
        <item x="8"/>
        <item x="2"/>
        <item x="0"/>
        <item x="3"/>
        <item x="1"/>
        <item x="4"/>
        <item x="10"/>
        <item x="7"/>
        <item x="9"/>
        <item x="11"/>
        <item t="default"/>
      </items>
    </pivotField>
    <pivotField showAll="0"/>
    <pivotField showAll="0"/>
    <pivotField showAll="0"/>
    <pivotField showAll="0"/>
    <pivotField showAll="0"/>
    <pivotField dataField="1" showAll="0">
      <items count="12">
        <item x="8"/>
        <item x="9"/>
        <item x="4"/>
        <item x="10"/>
        <item x="0"/>
        <item x="3"/>
        <item x="6"/>
        <item x="5"/>
        <item x="2"/>
        <item x="1"/>
        <item x="7"/>
        <item t="default"/>
      </items>
    </pivotField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ax of Current_Stock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3DD29-88C1-4DA4-98A7-FB2C6F7130C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tock_I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CC82C-6D23-4E6A-A3F3-474C062433DE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1:F34" firstHeaderRow="1" firstDataRow="1" firstDataCol="1"/>
  <pivotFields count="11">
    <pivotField showAll="0"/>
    <pivotField dataField="1" showAll="0">
      <items count="13">
        <item x="5"/>
        <item x="6"/>
        <item x="8"/>
        <item x="2"/>
        <item x="0"/>
        <item x="3"/>
        <item x="1"/>
        <item x="4"/>
        <item x="10"/>
        <item x="7"/>
        <item x="9"/>
        <item x="11"/>
        <item t="default"/>
      </items>
    </pivotField>
    <pivotField showAll="0"/>
    <pivotField axis="axisRow" showAll="0">
      <items count="13">
        <item x="11"/>
        <item x="10"/>
        <item x="4"/>
        <item x="0"/>
        <item x="9"/>
        <item x="2"/>
        <item x="6"/>
        <item x="1"/>
        <item x="3"/>
        <item x="8"/>
        <item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433B-9127-468F-A6E6-D394C9D24654}">
  <dimension ref="A2:J36"/>
  <sheetViews>
    <sheetView topLeftCell="A9" zoomScale="80" zoomScaleNormal="80" workbookViewId="0">
      <selection activeCell="D18" sqref="D18"/>
    </sheetView>
  </sheetViews>
  <sheetFormatPr defaultRowHeight="15" x14ac:dyDescent="0.25"/>
  <cols>
    <col min="1" max="1" width="14.140625" bestFit="1" customWidth="1"/>
    <col min="2" max="2" width="20.7109375" bestFit="1" customWidth="1"/>
    <col min="3" max="3" width="21.5703125" bestFit="1" customWidth="1"/>
    <col min="4" max="4" width="17.85546875" bestFit="1" customWidth="1"/>
    <col min="5" max="5" width="26.7109375" bestFit="1" customWidth="1"/>
    <col min="6" max="6" width="21.140625" bestFit="1" customWidth="1"/>
    <col min="7" max="7" width="14.140625" bestFit="1" customWidth="1"/>
    <col min="8" max="8" width="15.7109375" bestFit="1" customWidth="1"/>
    <col min="9" max="9" width="14.140625" bestFit="1" customWidth="1"/>
    <col min="10" max="10" width="16.7109375" bestFit="1" customWidth="1"/>
    <col min="11" max="11" width="27.140625" bestFit="1" customWidth="1"/>
    <col min="12" max="12" width="16.42578125" bestFit="1" customWidth="1"/>
    <col min="13" max="14" width="3" bestFit="1" customWidth="1"/>
    <col min="15" max="15" width="4" bestFit="1" customWidth="1"/>
    <col min="16" max="16" width="11.28515625" bestFit="1" customWidth="1"/>
  </cols>
  <sheetData>
    <row r="2" spans="1:10" x14ac:dyDescent="0.25">
      <c r="I2" s="3" t="s">
        <v>60</v>
      </c>
      <c r="J2" t="s">
        <v>72</v>
      </c>
    </row>
    <row r="3" spans="1:10" x14ac:dyDescent="0.25">
      <c r="A3" s="3" t="s">
        <v>60</v>
      </c>
      <c r="B3" t="s">
        <v>62</v>
      </c>
      <c r="D3" s="3" t="s">
        <v>60</v>
      </c>
      <c r="E3" t="s">
        <v>65</v>
      </c>
      <c r="G3" s="3" t="s">
        <v>60</v>
      </c>
      <c r="H3" t="s">
        <v>64</v>
      </c>
      <c r="I3" s="4">
        <v>12000</v>
      </c>
      <c r="J3" s="5">
        <v>12000</v>
      </c>
    </row>
    <row r="4" spans="1:10" x14ac:dyDescent="0.25">
      <c r="A4" s="4" t="s">
        <v>19</v>
      </c>
      <c r="B4">
        <v>290</v>
      </c>
      <c r="D4" s="4" t="s">
        <v>31</v>
      </c>
      <c r="E4">
        <v>30</v>
      </c>
      <c r="G4" s="4" t="s">
        <v>17</v>
      </c>
      <c r="H4">
        <v>3</v>
      </c>
      <c r="I4" s="4">
        <v>15000</v>
      </c>
      <c r="J4" s="5">
        <v>15000</v>
      </c>
    </row>
    <row r="5" spans="1:10" x14ac:dyDescent="0.25">
      <c r="A5" s="4" t="s">
        <v>29</v>
      </c>
      <c r="B5">
        <v>53</v>
      </c>
      <c r="D5" s="4" t="s">
        <v>33</v>
      </c>
      <c r="E5">
        <v>15</v>
      </c>
      <c r="G5" s="4" t="s">
        <v>12</v>
      </c>
      <c r="H5">
        <v>5</v>
      </c>
      <c r="I5" s="4">
        <v>25000</v>
      </c>
      <c r="J5" s="5">
        <v>25000</v>
      </c>
    </row>
    <row r="6" spans="1:10" x14ac:dyDescent="0.25">
      <c r="A6" s="4" t="s">
        <v>14</v>
      </c>
      <c r="B6">
        <v>87</v>
      </c>
      <c r="D6" s="4" t="s">
        <v>38</v>
      </c>
      <c r="E6">
        <v>110</v>
      </c>
      <c r="G6" s="4" t="s">
        <v>27</v>
      </c>
      <c r="H6">
        <v>4</v>
      </c>
      <c r="I6" s="4">
        <v>55000</v>
      </c>
      <c r="J6" s="5">
        <v>55000</v>
      </c>
    </row>
    <row r="7" spans="1:10" x14ac:dyDescent="0.25">
      <c r="A7" s="4" t="s">
        <v>22</v>
      </c>
      <c r="B7">
        <v>70</v>
      </c>
      <c r="D7" s="4" t="s">
        <v>20</v>
      </c>
      <c r="E7">
        <v>42</v>
      </c>
      <c r="G7" s="4" t="s">
        <v>61</v>
      </c>
      <c r="H7">
        <v>12</v>
      </c>
      <c r="I7" s="4">
        <v>65000</v>
      </c>
      <c r="J7" s="5">
        <v>65000</v>
      </c>
    </row>
    <row r="8" spans="1:10" x14ac:dyDescent="0.25">
      <c r="A8" s="4" t="s">
        <v>61</v>
      </c>
      <c r="B8">
        <v>500</v>
      </c>
      <c r="D8" s="4" t="s">
        <v>11</v>
      </c>
      <c r="E8">
        <v>15</v>
      </c>
      <c r="I8" s="4">
        <v>80000</v>
      </c>
      <c r="J8" s="5">
        <v>80000</v>
      </c>
    </row>
    <row r="9" spans="1:10" x14ac:dyDescent="0.25">
      <c r="D9" s="4" t="s">
        <v>24</v>
      </c>
      <c r="E9">
        <v>17</v>
      </c>
      <c r="I9" s="4">
        <v>85000</v>
      </c>
      <c r="J9" s="5">
        <v>85000</v>
      </c>
    </row>
    <row r="10" spans="1:10" x14ac:dyDescent="0.25">
      <c r="D10" s="4" t="s">
        <v>16</v>
      </c>
      <c r="E10">
        <v>70</v>
      </c>
      <c r="I10" s="4">
        <v>95000</v>
      </c>
      <c r="J10" s="5">
        <v>95000</v>
      </c>
    </row>
    <row r="11" spans="1:10" x14ac:dyDescent="0.25">
      <c r="D11" s="4" t="s">
        <v>26</v>
      </c>
      <c r="E11">
        <v>11</v>
      </c>
      <c r="I11" s="4">
        <v>120000</v>
      </c>
      <c r="J11" s="5">
        <v>120000</v>
      </c>
    </row>
    <row r="12" spans="1:10" x14ac:dyDescent="0.25">
      <c r="A12" s="3" t="s">
        <v>60</v>
      </c>
      <c r="B12" t="s">
        <v>71</v>
      </c>
      <c r="D12" s="4" t="s">
        <v>43</v>
      </c>
      <c r="E12">
        <v>10</v>
      </c>
      <c r="I12" s="4">
        <v>180000</v>
      </c>
      <c r="J12" s="5">
        <v>180000</v>
      </c>
    </row>
    <row r="13" spans="1:10" x14ac:dyDescent="0.25">
      <c r="A13" s="4">
        <v>665000</v>
      </c>
      <c r="B13" s="5">
        <v>665000</v>
      </c>
      <c r="D13" s="4" t="s">
        <v>36</v>
      </c>
      <c r="E13">
        <v>18</v>
      </c>
      <c r="I13" s="4">
        <v>350000</v>
      </c>
      <c r="J13" s="5">
        <v>350000</v>
      </c>
    </row>
    <row r="14" spans="1:10" x14ac:dyDescent="0.25">
      <c r="A14" s="4">
        <v>960000</v>
      </c>
      <c r="B14" s="5">
        <v>960000</v>
      </c>
      <c r="D14" s="4" t="s">
        <v>41</v>
      </c>
      <c r="E14">
        <v>7</v>
      </c>
      <c r="G14" s="3" t="s">
        <v>60</v>
      </c>
      <c r="H14" t="s">
        <v>62</v>
      </c>
      <c r="I14" s="4">
        <v>450000</v>
      </c>
      <c r="J14" s="5">
        <v>450000</v>
      </c>
    </row>
    <row r="15" spans="1:10" x14ac:dyDescent="0.25">
      <c r="A15" s="4">
        <v>1050000</v>
      </c>
      <c r="B15" s="5">
        <v>2100000</v>
      </c>
      <c r="D15" s="4" t="s">
        <v>46</v>
      </c>
      <c r="E15">
        <v>12</v>
      </c>
      <c r="G15" s="4" t="s">
        <v>19</v>
      </c>
      <c r="H15" s="5">
        <v>290</v>
      </c>
      <c r="I15" s="4" t="s">
        <v>61</v>
      </c>
      <c r="J15" s="5">
        <v>450000</v>
      </c>
    </row>
    <row r="16" spans="1:10" x14ac:dyDescent="0.25">
      <c r="A16" s="4">
        <v>1170000</v>
      </c>
      <c r="B16" s="5">
        <v>1170000</v>
      </c>
      <c r="D16" s="4" t="s">
        <v>61</v>
      </c>
      <c r="E16">
        <v>110</v>
      </c>
      <c r="G16" s="4" t="s">
        <v>29</v>
      </c>
      <c r="H16" s="5">
        <v>53</v>
      </c>
    </row>
    <row r="17" spans="1:9" x14ac:dyDescent="0.25">
      <c r="A17" s="4">
        <v>1275000</v>
      </c>
      <c r="B17" s="5">
        <v>1275000</v>
      </c>
      <c r="G17" s="4" t="s">
        <v>14</v>
      </c>
      <c r="H17" s="5">
        <v>87</v>
      </c>
    </row>
    <row r="18" spans="1:9" x14ac:dyDescent="0.25">
      <c r="A18" s="4">
        <v>1320000</v>
      </c>
      <c r="B18" s="5">
        <v>1320000</v>
      </c>
      <c r="G18" s="4" t="s">
        <v>22</v>
      </c>
      <c r="H18" s="5">
        <v>70</v>
      </c>
    </row>
    <row r="19" spans="1:9" x14ac:dyDescent="0.25">
      <c r="A19" s="4">
        <v>1650000</v>
      </c>
      <c r="B19" s="5">
        <v>1650000</v>
      </c>
      <c r="G19" s="4" t="s">
        <v>61</v>
      </c>
      <c r="H19" s="5">
        <v>500</v>
      </c>
    </row>
    <row r="20" spans="1:9" x14ac:dyDescent="0.25">
      <c r="A20" s="4">
        <v>1980000</v>
      </c>
      <c r="B20" s="5">
        <v>1980000</v>
      </c>
    </row>
    <row r="21" spans="1:9" x14ac:dyDescent="0.25">
      <c r="A21" s="4">
        <v>2040000</v>
      </c>
      <c r="B21" s="5">
        <v>2040000</v>
      </c>
      <c r="E21" s="3" t="s">
        <v>60</v>
      </c>
      <c r="F21" t="s">
        <v>64</v>
      </c>
    </row>
    <row r="22" spans="1:9" x14ac:dyDescent="0.25">
      <c r="A22" s="4">
        <v>3500000</v>
      </c>
      <c r="B22" s="5">
        <v>3500000</v>
      </c>
      <c r="E22" s="4" t="s">
        <v>47</v>
      </c>
      <c r="F22">
        <v>1</v>
      </c>
    </row>
    <row r="23" spans="1:9" x14ac:dyDescent="0.25">
      <c r="A23" s="4">
        <v>6750000</v>
      </c>
      <c r="B23" s="5">
        <v>6750000</v>
      </c>
      <c r="E23" s="4" t="s">
        <v>44</v>
      </c>
      <c r="F23">
        <v>1</v>
      </c>
      <c r="H23" s="3" t="s">
        <v>60</v>
      </c>
      <c r="I23" t="s">
        <v>66</v>
      </c>
    </row>
    <row r="24" spans="1:9" x14ac:dyDescent="0.25">
      <c r="A24" s="4" t="s">
        <v>61</v>
      </c>
      <c r="B24" s="5">
        <v>23410000</v>
      </c>
      <c r="E24" s="4" t="s">
        <v>28</v>
      </c>
      <c r="F24">
        <v>1</v>
      </c>
      <c r="H24" s="4" t="s">
        <v>31</v>
      </c>
      <c r="I24">
        <v>10</v>
      </c>
    </row>
    <row r="25" spans="1:9" x14ac:dyDescent="0.25">
      <c r="E25" s="4" t="s">
        <v>13</v>
      </c>
      <c r="F25">
        <v>1</v>
      </c>
      <c r="H25" s="4" t="s">
        <v>33</v>
      </c>
      <c r="I25">
        <v>5</v>
      </c>
    </row>
    <row r="26" spans="1:9" x14ac:dyDescent="0.25">
      <c r="E26" s="4" t="s">
        <v>42</v>
      </c>
      <c r="F26">
        <v>1</v>
      </c>
      <c r="H26" s="4" t="s">
        <v>38</v>
      </c>
      <c r="I26">
        <v>30</v>
      </c>
    </row>
    <row r="27" spans="1:9" x14ac:dyDescent="0.25">
      <c r="E27" s="4" t="s">
        <v>21</v>
      </c>
      <c r="F27">
        <v>1</v>
      </c>
      <c r="H27" s="4" t="s">
        <v>20</v>
      </c>
      <c r="I27">
        <v>15</v>
      </c>
    </row>
    <row r="28" spans="1:9" x14ac:dyDescent="0.25">
      <c r="A28" s="3" t="s">
        <v>60</v>
      </c>
      <c r="B28" t="s">
        <v>63</v>
      </c>
      <c r="E28" s="4" t="s">
        <v>34</v>
      </c>
      <c r="F28">
        <v>1</v>
      </c>
      <c r="H28" s="4" t="s">
        <v>11</v>
      </c>
      <c r="I28">
        <v>10</v>
      </c>
    </row>
    <row r="29" spans="1:9" x14ac:dyDescent="0.25">
      <c r="A29" s="4" t="s">
        <v>17</v>
      </c>
      <c r="B29" s="5">
        <v>222</v>
      </c>
      <c r="E29" s="4" t="s">
        <v>18</v>
      </c>
      <c r="F29">
        <v>1</v>
      </c>
      <c r="H29" s="4" t="s">
        <v>24</v>
      </c>
      <c r="I29">
        <v>8</v>
      </c>
    </row>
    <row r="30" spans="1:9" x14ac:dyDescent="0.25">
      <c r="A30" s="4" t="s">
        <v>12</v>
      </c>
      <c r="B30" s="5">
        <v>72</v>
      </c>
      <c r="E30" s="4" t="s">
        <v>25</v>
      </c>
      <c r="F30">
        <v>1</v>
      </c>
      <c r="H30" s="4" t="s">
        <v>16</v>
      </c>
      <c r="I30">
        <v>20</v>
      </c>
    </row>
    <row r="31" spans="1:9" x14ac:dyDescent="0.25">
      <c r="A31" s="4" t="s">
        <v>27</v>
      </c>
      <c r="B31" s="5">
        <v>63</v>
      </c>
      <c r="E31" s="4" t="s">
        <v>39</v>
      </c>
      <c r="F31">
        <v>1</v>
      </c>
      <c r="H31" s="4" t="s">
        <v>26</v>
      </c>
      <c r="I31">
        <v>5</v>
      </c>
    </row>
    <row r="32" spans="1:9" x14ac:dyDescent="0.25">
      <c r="A32" s="4" t="s">
        <v>61</v>
      </c>
      <c r="B32" s="5">
        <v>357</v>
      </c>
      <c r="E32" s="4" t="s">
        <v>37</v>
      </c>
      <c r="F32">
        <v>1</v>
      </c>
      <c r="H32" s="4" t="s">
        <v>43</v>
      </c>
      <c r="I32">
        <v>4</v>
      </c>
    </row>
    <row r="33" spans="5:9" x14ac:dyDescent="0.25">
      <c r="E33" s="4" t="s">
        <v>32</v>
      </c>
      <c r="F33">
        <v>1</v>
      </c>
      <c r="H33" s="4" t="s">
        <v>36</v>
      </c>
      <c r="I33">
        <v>8</v>
      </c>
    </row>
    <row r="34" spans="5:9" x14ac:dyDescent="0.25">
      <c r="E34" s="4" t="s">
        <v>61</v>
      </c>
      <c r="F34">
        <v>12</v>
      </c>
      <c r="H34" s="4" t="s">
        <v>41</v>
      </c>
      <c r="I34">
        <v>4</v>
      </c>
    </row>
    <row r="35" spans="5:9" x14ac:dyDescent="0.25">
      <c r="H35" s="4" t="s">
        <v>46</v>
      </c>
      <c r="I35">
        <v>6</v>
      </c>
    </row>
    <row r="36" spans="5:9" x14ac:dyDescent="0.25">
      <c r="H36" s="4" t="s">
        <v>61</v>
      </c>
      <c r="I36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C27" sqref="C27"/>
    </sheetView>
  </sheetViews>
  <sheetFormatPr defaultRowHeight="15" x14ac:dyDescent="0.25"/>
  <cols>
    <col min="1" max="1" width="43.5703125" bestFit="1" customWidth="1"/>
    <col min="3" max="3" width="11.28515625" bestFit="1" customWidth="1"/>
    <col min="5" max="5" width="24" bestFit="1" customWidth="1"/>
    <col min="6" max="6" width="9.42578125" bestFit="1" customWidth="1"/>
    <col min="7" max="7" width="11.28515625" bestFit="1" customWidth="1"/>
    <col min="8" max="8" width="15.140625" bestFit="1" customWidth="1"/>
    <col min="9" max="9" width="10.42578125" bestFit="1" customWidth="1"/>
    <col min="10" max="10" width="15.140625" bestFit="1" customWidth="1"/>
    <col min="11" max="11" width="10.42578125" bestFit="1" customWidth="1"/>
    <col min="12" max="12" width="16.7109375" bestFit="1" customWidth="1"/>
  </cols>
  <sheetData>
    <row r="1" spans="1:12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67</v>
      </c>
    </row>
    <row r="2" spans="1:12" x14ac:dyDescent="0.25">
      <c r="A2" s="1">
        <v>1001</v>
      </c>
      <c r="B2" t="s">
        <v>11</v>
      </c>
      <c r="C2" t="s">
        <v>12</v>
      </c>
      <c r="D2" t="s">
        <v>13</v>
      </c>
      <c r="E2" t="s">
        <v>14</v>
      </c>
      <c r="F2" s="1">
        <v>20</v>
      </c>
      <c r="G2" s="1">
        <v>5</v>
      </c>
      <c r="H2" s="1">
        <v>15</v>
      </c>
      <c r="I2" s="1">
        <v>450000</v>
      </c>
      <c r="J2" s="1">
        <v>10</v>
      </c>
      <c r="K2" t="s">
        <v>15</v>
      </c>
      <c r="L2">
        <f>SUM(H2*I2)</f>
        <v>6750000</v>
      </c>
    </row>
    <row r="3" spans="1:12" x14ac:dyDescent="0.25">
      <c r="A3" s="1">
        <v>1002</v>
      </c>
      <c r="B3" t="s">
        <v>16</v>
      </c>
      <c r="C3" t="s">
        <v>17</v>
      </c>
      <c r="D3" t="s">
        <v>18</v>
      </c>
      <c r="E3" t="s">
        <v>19</v>
      </c>
      <c r="F3" s="1">
        <v>100</v>
      </c>
      <c r="G3" s="1">
        <v>30</v>
      </c>
      <c r="H3" s="1">
        <v>70</v>
      </c>
      <c r="I3" s="1">
        <v>15000</v>
      </c>
      <c r="J3" s="1">
        <v>20</v>
      </c>
      <c r="K3" t="s">
        <v>15</v>
      </c>
      <c r="L3">
        <f t="shared" ref="L3:L13" si="0">SUM(H3*I3)</f>
        <v>1050000</v>
      </c>
    </row>
    <row r="4" spans="1:12" x14ac:dyDescent="0.25">
      <c r="A4" s="1">
        <v>1003</v>
      </c>
      <c r="B4" t="s">
        <v>20</v>
      </c>
      <c r="C4" t="s">
        <v>17</v>
      </c>
      <c r="D4" t="s">
        <v>21</v>
      </c>
      <c r="E4" t="s">
        <v>22</v>
      </c>
      <c r="F4" s="1">
        <v>60</v>
      </c>
      <c r="G4" s="1">
        <v>18</v>
      </c>
      <c r="H4" s="1">
        <v>42</v>
      </c>
      <c r="I4" s="1">
        <v>25000</v>
      </c>
      <c r="J4" s="1">
        <v>15</v>
      </c>
      <c r="K4" t="s">
        <v>23</v>
      </c>
      <c r="L4">
        <f t="shared" si="0"/>
        <v>1050000</v>
      </c>
    </row>
    <row r="5" spans="1:12" x14ac:dyDescent="0.25">
      <c r="A5" s="1">
        <v>1004</v>
      </c>
      <c r="B5" t="s">
        <v>24</v>
      </c>
      <c r="C5" t="s">
        <v>12</v>
      </c>
      <c r="D5" t="s">
        <v>25</v>
      </c>
      <c r="E5" t="s">
        <v>14</v>
      </c>
      <c r="F5" s="1">
        <v>25</v>
      </c>
      <c r="G5" s="1">
        <v>8</v>
      </c>
      <c r="H5" s="1">
        <v>17</v>
      </c>
      <c r="I5" s="1">
        <v>120000</v>
      </c>
      <c r="J5" s="1">
        <v>8</v>
      </c>
      <c r="K5" t="s">
        <v>23</v>
      </c>
      <c r="L5">
        <f t="shared" si="0"/>
        <v>2040000</v>
      </c>
    </row>
    <row r="6" spans="1:12" x14ac:dyDescent="0.25">
      <c r="A6" s="1">
        <v>1005</v>
      </c>
      <c r="B6" t="s">
        <v>26</v>
      </c>
      <c r="C6" t="s">
        <v>27</v>
      </c>
      <c r="D6" t="s">
        <v>28</v>
      </c>
      <c r="E6" t="s">
        <v>29</v>
      </c>
      <c r="F6" s="1">
        <v>15</v>
      </c>
      <c r="G6" s="1">
        <v>4</v>
      </c>
      <c r="H6" s="1">
        <v>11</v>
      </c>
      <c r="I6" s="1">
        <v>180000</v>
      </c>
      <c r="J6" s="1">
        <v>5</v>
      </c>
      <c r="K6" t="s">
        <v>30</v>
      </c>
      <c r="L6">
        <f t="shared" si="0"/>
        <v>1980000</v>
      </c>
    </row>
    <row r="7" spans="1:12" x14ac:dyDescent="0.25">
      <c r="A7" s="1">
        <v>1006</v>
      </c>
      <c r="B7" t="s">
        <v>31</v>
      </c>
      <c r="C7" t="s">
        <v>27</v>
      </c>
      <c r="D7" t="s">
        <v>32</v>
      </c>
      <c r="E7" t="s">
        <v>19</v>
      </c>
      <c r="F7" s="1">
        <v>40</v>
      </c>
      <c r="G7" s="1">
        <v>10</v>
      </c>
      <c r="H7" s="1">
        <v>30</v>
      </c>
      <c r="I7" s="1">
        <v>55000</v>
      </c>
      <c r="J7" s="1">
        <v>10</v>
      </c>
      <c r="K7" t="s">
        <v>30</v>
      </c>
      <c r="L7">
        <f t="shared" si="0"/>
        <v>1650000</v>
      </c>
    </row>
    <row r="8" spans="1:12" x14ac:dyDescent="0.25">
      <c r="A8" s="1">
        <v>1007</v>
      </c>
      <c r="B8" t="s">
        <v>33</v>
      </c>
      <c r="C8" t="s">
        <v>27</v>
      </c>
      <c r="D8" t="s">
        <v>34</v>
      </c>
      <c r="E8" t="s">
        <v>29</v>
      </c>
      <c r="F8" s="1">
        <v>20</v>
      </c>
      <c r="G8" s="1">
        <v>5</v>
      </c>
      <c r="H8" s="1">
        <v>15</v>
      </c>
      <c r="I8" s="1">
        <v>85000</v>
      </c>
      <c r="J8" s="1">
        <v>5</v>
      </c>
      <c r="K8" t="s">
        <v>35</v>
      </c>
      <c r="L8">
        <f t="shared" si="0"/>
        <v>1275000</v>
      </c>
    </row>
    <row r="9" spans="1:12" x14ac:dyDescent="0.25">
      <c r="A9" s="1">
        <v>1008</v>
      </c>
      <c r="B9" t="s">
        <v>36</v>
      </c>
      <c r="C9" t="s">
        <v>12</v>
      </c>
      <c r="D9" t="s">
        <v>37</v>
      </c>
      <c r="E9" t="s">
        <v>14</v>
      </c>
      <c r="F9" s="1">
        <v>30</v>
      </c>
      <c r="G9" s="1">
        <v>12</v>
      </c>
      <c r="H9" s="1">
        <v>18</v>
      </c>
      <c r="I9" s="1">
        <v>65000</v>
      </c>
      <c r="J9" s="1">
        <v>8</v>
      </c>
      <c r="K9" t="s">
        <v>35</v>
      </c>
      <c r="L9">
        <f t="shared" si="0"/>
        <v>1170000</v>
      </c>
    </row>
    <row r="10" spans="1:12" x14ac:dyDescent="0.25">
      <c r="A10" s="1">
        <v>1009</v>
      </c>
      <c r="B10" t="s">
        <v>38</v>
      </c>
      <c r="C10" t="s">
        <v>17</v>
      </c>
      <c r="D10" t="s">
        <v>39</v>
      </c>
      <c r="E10" t="s">
        <v>19</v>
      </c>
      <c r="F10" s="1">
        <v>150</v>
      </c>
      <c r="G10" s="1">
        <v>40</v>
      </c>
      <c r="H10" s="1">
        <v>110</v>
      </c>
      <c r="I10" s="1">
        <v>12000</v>
      </c>
      <c r="J10" s="1">
        <v>30</v>
      </c>
      <c r="K10" t="s">
        <v>40</v>
      </c>
      <c r="L10">
        <f t="shared" si="0"/>
        <v>1320000</v>
      </c>
    </row>
    <row r="11" spans="1:12" x14ac:dyDescent="0.25">
      <c r="A11" s="1">
        <v>1010</v>
      </c>
      <c r="B11" t="s">
        <v>41</v>
      </c>
      <c r="C11" t="s">
        <v>27</v>
      </c>
      <c r="D11" t="s">
        <v>42</v>
      </c>
      <c r="E11" t="s">
        <v>22</v>
      </c>
      <c r="F11" s="1">
        <v>10</v>
      </c>
      <c r="G11" s="1">
        <v>3</v>
      </c>
      <c r="H11" s="1">
        <v>7</v>
      </c>
      <c r="I11" s="1">
        <v>95000</v>
      </c>
      <c r="J11" s="1">
        <v>4</v>
      </c>
      <c r="K11" t="s">
        <v>40</v>
      </c>
      <c r="L11">
        <f t="shared" si="0"/>
        <v>665000</v>
      </c>
    </row>
    <row r="12" spans="1:12" x14ac:dyDescent="0.25">
      <c r="A12" s="1">
        <v>1011</v>
      </c>
      <c r="B12" t="s">
        <v>43</v>
      </c>
      <c r="C12" t="s">
        <v>12</v>
      </c>
      <c r="D12" t="s">
        <v>44</v>
      </c>
      <c r="E12" t="s">
        <v>14</v>
      </c>
      <c r="F12" s="1">
        <v>12</v>
      </c>
      <c r="G12" s="1">
        <v>2</v>
      </c>
      <c r="H12" s="1">
        <v>10</v>
      </c>
      <c r="I12" s="1">
        <v>350000</v>
      </c>
      <c r="J12" s="1">
        <v>4</v>
      </c>
      <c r="K12" t="s">
        <v>45</v>
      </c>
      <c r="L12">
        <f t="shared" si="0"/>
        <v>3500000</v>
      </c>
    </row>
    <row r="13" spans="1:12" x14ac:dyDescent="0.25">
      <c r="A13" s="1">
        <v>1012</v>
      </c>
      <c r="B13" t="s">
        <v>46</v>
      </c>
      <c r="C13" t="s">
        <v>12</v>
      </c>
      <c r="D13" t="s">
        <v>47</v>
      </c>
      <c r="E13" t="s">
        <v>29</v>
      </c>
      <c r="F13" s="1">
        <v>18</v>
      </c>
      <c r="G13" s="1">
        <v>6</v>
      </c>
      <c r="H13" s="1">
        <v>12</v>
      </c>
      <c r="I13" s="1">
        <v>80000</v>
      </c>
      <c r="J13" s="1">
        <v>6</v>
      </c>
      <c r="K13" t="s">
        <v>45</v>
      </c>
      <c r="L13">
        <f t="shared" si="0"/>
        <v>960000</v>
      </c>
    </row>
    <row r="16" spans="1:12" x14ac:dyDescent="0.25">
      <c r="A16" t="s">
        <v>52</v>
      </c>
      <c r="E16" s="1" t="s">
        <v>57</v>
      </c>
    </row>
    <row r="17" spans="1:5" x14ac:dyDescent="0.25">
      <c r="A17" t="s">
        <v>53</v>
      </c>
      <c r="E17" s="1" t="s">
        <v>59</v>
      </c>
    </row>
    <row r="18" spans="1:5" x14ac:dyDescent="0.25">
      <c r="A18" t="s">
        <v>54</v>
      </c>
      <c r="E18" s="1" t="s">
        <v>73</v>
      </c>
    </row>
    <row r="19" spans="1:5" x14ac:dyDescent="0.25">
      <c r="A19" t="s">
        <v>55</v>
      </c>
      <c r="E19" s="1">
        <f>SUM(H2:H13)</f>
        <v>357</v>
      </c>
    </row>
    <row r="20" spans="1:5" x14ac:dyDescent="0.25">
      <c r="A20" t="s">
        <v>56</v>
      </c>
      <c r="E20" s="6">
        <f>SUM(L2:L13)</f>
        <v>23410000</v>
      </c>
    </row>
    <row r="21" spans="1:5" x14ac:dyDescent="0.25">
      <c r="A21" t="s">
        <v>48</v>
      </c>
      <c r="E21" s="1" t="s">
        <v>68</v>
      </c>
    </row>
    <row r="22" spans="1:5" x14ac:dyDescent="0.25">
      <c r="A22" t="s">
        <v>49</v>
      </c>
      <c r="E22" s="1" t="s">
        <v>69</v>
      </c>
    </row>
    <row r="23" spans="1:5" x14ac:dyDescent="0.25">
      <c r="A23" t="s">
        <v>50</v>
      </c>
      <c r="E23" s="1" t="s">
        <v>70</v>
      </c>
    </row>
    <row r="24" spans="1:5" x14ac:dyDescent="0.25">
      <c r="A24" t="s">
        <v>51</v>
      </c>
      <c r="E24" s="1">
        <f>MAX(I2:I13)</f>
        <v>450000</v>
      </c>
    </row>
    <row r="25" spans="1:5" x14ac:dyDescent="0.25">
      <c r="A25" t="s">
        <v>58</v>
      </c>
      <c r="E25" s="1">
        <f>MAX(L2:L13)</f>
        <v>6750000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madufor christian</cp:lastModifiedBy>
  <dcterms:created xsi:type="dcterms:W3CDTF">2026-07-08T19:44:14Z</dcterms:created>
  <dcterms:modified xsi:type="dcterms:W3CDTF">2026-07-10T12:34:47Z</dcterms:modified>
</cp:coreProperties>
</file>