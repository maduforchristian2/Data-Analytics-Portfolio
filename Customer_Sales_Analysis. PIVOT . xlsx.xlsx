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UFOR CHRISTIAN\Documents\DATA ANALYST PORTFOLIO\PROJECT_04_ Customer Sales Analysis\"/>
    </mc:Choice>
  </mc:AlternateContent>
  <xr:revisionPtr revIDLastSave="0" documentId="8_{57A62D01-6846-4CD4-8C1D-125D11B529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2" sheetId="4" r:id="rId2"/>
    <sheet name="Sheet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C55" i="1"/>
  <c r="C62" i="1"/>
  <c r="C61" i="1"/>
  <c r="N2" i="1"/>
  <c r="C54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<sst xmlns="http://schemas.openxmlformats.org/spreadsheetml/2006/main" count="828" uniqueCount="136">
  <si>
    <t>Customer_ID</t>
  </si>
  <si>
    <t>Customer_Name</t>
  </si>
  <si>
    <t>Gender</t>
  </si>
  <si>
    <t>Age</t>
  </si>
  <si>
    <t>City</t>
  </si>
  <si>
    <t>Product</t>
  </si>
  <si>
    <t>Category</t>
  </si>
  <si>
    <t>Quantity</t>
  </si>
  <si>
    <t>Unit_Price</t>
  </si>
  <si>
    <t>Total_Sales</t>
  </si>
  <si>
    <t>Sales_Date</t>
  </si>
  <si>
    <t>Payment_Method</t>
  </si>
  <si>
    <t>Customer 1</t>
  </si>
  <si>
    <t>Male</t>
  </si>
  <si>
    <t>Abuja</t>
  </si>
  <si>
    <t>Laptop</t>
  </si>
  <si>
    <t>Electronics</t>
  </si>
  <si>
    <t>01/07/2026</t>
  </si>
  <si>
    <t>Cash</t>
  </si>
  <si>
    <t>Customer 2</t>
  </si>
  <si>
    <t>Female</t>
  </si>
  <si>
    <t>Lagos</t>
  </si>
  <si>
    <t>Monitor</t>
  </si>
  <si>
    <t>02/07/2026</t>
  </si>
  <si>
    <t>Transfer</t>
  </si>
  <si>
    <t>Customer 3</t>
  </si>
  <si>
    <t>Port Harcourt</t>
  </si>
  <si>
    <t>Printer</t>
  </si>
  <si>
    <t>Office</t>
  </si>
  <si>
    <t>03/07/2026</t>
  </si>
  <si>
    <t>POS</t>
  </si>
  <si>
    <t>Customer 4</t>
  </si>
  <si>
    <t>Enugu</t>
  </si>
  <si>
    <t>Desk</t>
  </si>
  <si>
    <t>04/07/2026</t>
  </si>
  <si>
    <t>Customer 5</t>
  </si>
  <si>
    <t>Owerri</t>
  </si>
  <si>
    <t>UPS</t>
  </si>
  <si>
    <t>05/07/2026</t>
  </si>
  <si>
    <t>Customer 6</t>
  </si>
  <si>
    <t>Kano</t>
  </si>
  <si>
    <t>Router</t>
  </si>
  <si>
    <t>06/07/2026</t>
  </si>
  <si>
    <t>Customer 7</t>
  </si>
  <si>
    <t>Chair</t>
  </si>
  <si>
    <t>07/07/2026</t>
  </si>
  <si>
    <t>Customer 8</t>
  </si>
  <si>
    <t>Keyboard</t>
  </si>
  <si>
    <t>Accessories</t>
  </si>
  <si>
    <t>08/07/2026</t>
  </si>
  <si>
    <t>Customer 9</t>
  </si>
  <si>
    <t>Mouse</t>
  </si>
  <si>
    <t>09/07/2026</t>
  </si>
  <si>
    <t>Customer 10</t>
  </si>
  <si>
    <t>Flash Drive</t>
  </si>
  <si>
    <t>10/07/2026</t>
  </si>
  <si>
    <t>Customer 11</t>
  </si>
  <si>
    <t>11/07/2026</t>
  </si>
  <si>
    <t>Customer 12</t>
  </si>
  <si>
    <t>12/07/2026</t>
  </si>
  <si>
    <t>Customer 13</t>
  </si>
  <si>
    <t>13/07/2026</t>
  </si>
  <si>
    <t>Customer 14</t>
  </si>
  <si>
    <t>14/07/2026</t>
  </si>
  <si>
    <t>Customer 15</t>
  </si>
  <si>
    <t>15/07/2026</t>
  </si>
  <si>
    <t>Customer 16</t>
  </si>
  <si>
    <t>16/07/2026</t>
  </si>
  <si>
    <t>Customer 17</t>
  </si>
  <si>
    <t>17/07/2026</t>
  </si>
  <si>
    <t>Customer 18</t>
  </si>
  <si>
    <t>18/07/2026</t>
  </si>
  <si>
    <t>Customer 19</t>
  </si>
  <si>
    <t>19/07/2026</t>
  </si>
  <si>
    <t>Customer 20</t>
  </si>
  <si>
    <t>20/07/2026</t>
  </si>
  <si>
    <t>Customer 21</t>
  </si>
  <si>
    <t>21/07/2026</t>
  </si>
  <si>
    <t>Customer 22</t>
  </si>
  <si>
    <t>22/07/2026</t>
  </si>
  <si>
    <t>Customer 23</t>
  </si>
  <si>
    <t>23/07/2026</t>
  </si>
  <si>
    <t>Customer 24</t>
  </si>
  <si>
    <t>24/07/2026</t>
  </si>
  <si>
    <t>Customer 25</t>
  </si>
  <si>
    <t>25/07/2026</t>
  </si>
  <si>
    <t>Customer 26</t>
  </si>
  <si>
    <t>26/07/2026</t>
  </si>
  <si>
    <t>Customer 27</t>
  </si>
  <si>
    <t>27/07/2026</t>
  </si>
  <si>
    <t>Customer 28</t>
  </si>
  <si>
    <t>28/07/2026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</si>
  <si>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</si>
  <si>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</si>
  <si>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</si>
  <si>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</si>
  <si>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</si>
  <si>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</si>
  <si>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</si>
  <si>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</si>
  <si>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</si>
  <si>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</si>
  <si>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</si>
  <si>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</si>
  <si>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</si>
  <si>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</si>
  <si>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</si>
  <si>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</si>
  <si>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</si>
  <si>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</si>
  <si>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</si>
  <si>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</si>
  <si>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</si>
  <si>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</si>
  <si>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total sales =quantity*unitprice</t>
  </si>
  <si>
    <t>total revenue</t>
  </si>
  <si>
    <t>Highest spending customer</t>
  </si>
  <si>
    <t>customer 1,11,21,31,41</t>
  </si>
  <si>
    <t xml:space="preserve">Lowest spending customer </t>
  </si>
  <si>
    <t>customer 10,20,30,40,50</t>
  </si>
  <si>
    <t>Best selling product</t>
  </si>
  <si>
    <t>Best Selling Category</t>
  </si>
  <si>
    <t>City with the highest sales</t>
  </si>
  <si>
    <t>Row Labels</t>
  </si>
  <si>
    <t>Grand Total</t>
  </si>
  <si>
    <t>Sum of Quantity</t>
  </si>
  <si>
    <t>Sum of Unit_Price</t>
  </si>
  <si>
    <t>Sum of Customer_ID</t>
  </si>
  <si>
    <t>Sum of Total_Sales</t>
  </si>
  <si>
    <t>Sum of Age</t>
  </si>
  <si>
    <t>Average of Age</t>
  </si>
  <si>
    <t>Total Customers</t>
  </si>
  <si>
    <t>Average Customer Age</t>
  </si>
  <si>
    <t>Flashdrive</t>
  </si>
  <si>
    <t>Abuja,Owerri,Port Harcourt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</si>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</sst>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[Customer_Sales_Analysis_50_Rows . PIVOT . xlsx.xlsx]Sheet2!PivotTable10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Sheet2!$A$2:$A$302</c:f>
              <c:multiLvlStrCache>
                <c:ptCount val="50"/>
                <c:lvl>
                  <c:pt idx="0">
                    <c:v>01/07/2026</c:v>
                  </c:pt>
                  <c:pt idx="1">
                    <c:v>10/07/2026</c:v>
                  </c:pt>
                  <c:pt idx="2">
                    <c:v>11/07/2026</c:v>
                  </c:pt>
                  <c:pt idx="3">
                    <c:v>12/07/2026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02/07/2026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01/07/2026</c:v>
                  </c:pt>
                  <c:pt idx="22">
                    <c:v>03/07/2026</c:v>
                  </c:pt>
                  <c:pt idx="23">
                    <c:v>02/07/2026</c:v>
                  </c:pt>
                  <c:pt idx="24">
                    <c:v>03/07/2026</c:v>
                  </c:pt>
                  <c:pt idx="25">
                    <c:v>04/07/2026</c:v>
                  </c:pt>
                  <c:pt idx="26">
                    <c:v>05/07/2026</c:v>
                  </c:pt>
                  <c:pt idx="27">
                    <c:v>06/07/2026</c:v>
                  </c:pt>
                  <c:pt idx="28">
                    <c:v>07/07/2026</c:v>
                  </c:pt>
                  <c:pt idx="29">
                    <c:v>08/07/2026</c:v>
                  </c:pt>
                  <c:pt idx="30">
                    <c:v>09/07/2026</c:v>
                  </c:pt>
                  <c:pt idx="31">
                    <c:v>10/07/2026</c:v>
                  </c:pt>
                  <c:pt idx="32">
                    <c:v>11/07/2026</c:v>
                  </c:pt>
                  <c:pt idx="33">
                    <c:v>04/07/2026</c:v>
                  </c:pt>
                  <c:pt idx="34">
                    <c:v>12/07/2026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05/07/2026</c:v>
                  </c:pt>
                  <c:pt idx="45">
                    <c:v>22/07/2026</c:v>
                  </c:pt>
                  <c:pt idx="46">
                    <c:v>06/07/2026</c:v>
                  </c:pt>
                  <c:pt idx="47">
                    <c:v>07/07/2026</c:v>
                  </c:pt>
                  <c:pt idx="48">
                    <c:v>08/07/2026</c:v>
                  </c:pt>
                  <c:pt idx="49">
                    <c:v>09/07/2026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Sheet2!$B$2:$B$302</c:f>
              <c:numCache>
                <c:formatCode>General</c:formatCode>
                <c:ptCount val="50"/>
                <c:pt idx="0">
                  <c:v>1001</c:v>
                </c:pt>
                <c:pt idx="1">
                  <c:v>1010</c:v>
                </c:pt>
                <c:pt idx="2">
                  <c:v>1011</c:v>
                </c:pt>
                <c:pt idx="3">
                  <c:v>1012</c:v>
                </c:pt>
                <c:pt idx="4">
                  <c:v>1013</c:v>
                </c:pt>
                <c:pt idx="5">
                  <c:v>1014</c:v>
                </c:pt>
                <c:pt idx="6">
                  <c:v>1015</c:v>
                </c:pt>
                <c:pt idx="7">
                  <c:v>1016</c:v>
                </c:pt>
                <c:pt idx="8">
                  <c:v>1017</c:v>
                </c:pt>
                <c:pt idx="9">
                  <c:v>1018</c:v>
                </c:pt>
                <c:pt idx="10">
                  <c:v>1019</c:v>
                </c:pt>
                <c:pt idx="11">
                  <c:v>1002</c:v>
                </c:pt>
                <c:pt idx="12">
                  <c:v>1020</c:v>
                </c:pt>
                <c:pt idx="13">
                  <c:v>1021</c:v>
                </c:pt>
                <c:pt idx="14">
                  <c:v>1022</c:v>
                </c:pt>
                <c:pt idx="15">
                  <c:v>1023</c:v>
                </c:pt>
                <c:pt idx="16">
                  <c:v>1024</c:v>
                </c:pt>
                <c:pt idx="17">
                  <c:v>1025</c:v>
                </c:pt>
                <c:pt idx="18">
                  <c:v>1026</c:v>
                </c:pt>
                <c:pt idx="19">
                  <c:v>1027</c:v>
                </c:pt>
                <c:pt idx="20">
                  <c:v>1028</c:v>
                </c:pt>
                <c:pt idx="21">
                  <c:v>1029</c:v>
                </c:pt>
                <c:pt idx="22">
                  <c:v>1003</c:v>
                </c:pt>
                <c:pt idx="23">
                  <c:v>1030</c:v>
                </c:pt>
                <c:pt idx="24">
                  <c:v>1031</c:v>
                </c:pt>
                <c:pt idx="25">
                  <c:v>1032</c:v>
                </c:pt>
                <c:pt idx="26">
                  <c:v>1033</c:v>
                </c:pt>
                <c:pt idx="27">
                  <c:v>1034</c:v>
                </c:pt>
                <c:pt idx="28">
                  <c:v>1035</c:v>
                </c:pt>
                <c:pt idx="29">
                  <c:v>1036</c:v>
                </c:pt>
                <c:pt idx="30">
                  <c:v>1037</c:v>
                </c:pt>
                <c:pt idx="31">
                  <c:v>1038</c:v>
                </c:pt>
                <c:pt idx="32">
                  <c:v>1039</c:v>
                </c:pt>
                <c:pt idx="33">
                  <c:v>1004</c:v>
                </c:pt>
                <c:pt idx="34">
                  <c:v>1040</c:v>
                </c:pt>
                <c:pt idx="35">
                  <c:v>1041</c:v>
                </c:pt>
                <c:pt idx="36">
                  <c:v>1042</c:v>
                </c:pt>
                <c:pt idx="37">
                  <c:v>1043</c:v>
                </c:pt>
                <c:pt idx="38">
                  <c:v>1044</c:v>
                </c:pt>
                <c:pt idx="39">
                  <c:v>1045</c:v>
                </c:pt>
                <c:pt idx="40">
                  <c:v>1046</c:v>
                </c:pt>
                <c:pt idx="41">
                  <c:v>1047</c:v>
                </c:pt>
                <c:pt idx="42">
                  <c:v>1048</c:v>
                </c:pt>
                <c:pt idx="43">
                  <c:v>1049</c:v>
                </c:pt>
                <c:pt idx="44">
                  <c:v>1005</c:v>
                </c:pt>
                <c:pt idx="45">
                  <c:v>1050</c:v>
                </c:pt>
                <c:pt idx="46">
                  <c:v>1006</c:v>
                </c:pt>
                <c:pt idx="47">
                  <c:v>1007</c:v>
                </c:pt>
                <c:pt idx="48">
                  <c:v>1008</c:v>
                </c:pt>
                <c:pt idx="49">
                  <c:v>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6-427A-943C-5889D32107B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Sheet2!$A$2:$A$302</c:f>
              <c:multiLvlStrCache>
                <c:ptCount val="50"/>
                <c:lvl>
                  <c:pt idx="0">
                    <c:v>01/07/2026</c:v>
                  </c:pt>
                  <c:pt idx="1">
                    <c:v>10/07/2026</c:v>
                  </c:pt>
                  <c:pt idx="2">
                    <c:v>11/07/2026</c:v>
                  </c:pt>
                  <c:pt idx="3">
                    <c:v>12/07/2026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02/07/2026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01/07/2026</c:v>
                  </c:pt>
                  <c:pt idx="22">
                    <c:v>03/07/2026</c:v>
                  </c:pt>
                  <c:pt idx="23">
                    <c:v>02/07/2026</c:v>
                  </c:pt>
                  <c:pt idx="24">
                    <c:v>03/07/2026</c:v>
                  </c:pt>
                  <c:pt idx="25">
                    <c:v>04/07/2026</c:v>
                  </c:pt>
                  <c:pt idx="26">
                    <c:v>05/07/2026</c:v>
                  </c:pt>
                  <c:pt idx="27">
                    <c:v>06/07/2026</c:v>
                  </c:pt>
                  <c:pt idx="28">
                    <c:v>07/07/2026</c:v>
                  </c:pt>
                  <c:pt idx="29">
                    <c:v>08/07/2026</c:v>
                  </c:pt>
                  <c:pt idx="30">
                    <c:v>09/07/2026</c:v>
                  </c:pt>
                  <c:pt idx="31">
                    <c:v>10/07/2026</c:v>
                  </c:pt>
                  <c:pt idx="32">
                    <c:v>11/07/2026</c:v>
                  </c:pt>
                  <c:pt idx="33">
                    <c:v>04/07/2026</c:v>
                  </c:pt>
                  <c:pt idx="34">
                    <c:v>12/07/2026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05/07/2026</c:v>
                  </c:pt>
                  <c:pt idx="45">
                    <c:v>22/07/2026</c:v>
                  </c:pt>
                  <c:pt idx="46">
                    <c:v>06/07/2026</c:v>
                  </c:pt>
                  <c:pt idx="47">
                    <c:v>07/07/2026</c:v>
                  </c:pt>
                  <c:pt idx="48">
                    <c:v>08/07/2026</c:v>
                  </c:pt>
                  <c:pt idx="49">
                    <c:v>09/07/2026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Sheet2!$C$2:$C$302</c:f>
              <c:numCache>
                <c:formatCode>General</c:formatCode>
                <c:ptCount val="50"/>
                <c:pt idx="0">
                  <c:v>22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23</c:v>
                </c:pt>
                <c:pt idx="12">
                  <c:v>41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24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25</c:v>
                </c:pt>
                <c:pt idx="34">
                  <c:v>41</c:v>
                </c:pt>
                <c:pt idx="35">
                  <c:v>22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26</c:v>
                </c:pt>
                <c:pt idx="40">
                  <c:v>27</c:v>
                </c:pt>
                <c:pt idx="41">
                  <c:v>28</c:v>
                </c:pt>
                <c:pt idx="42">
                  <c:v>29</c:v>
                </c:pt>
                <c:pt idx="43">
                  <c:v>30</c:v>
                </c:pt>
                <c:pt idx="44">
                  <c:v>26</c:v>
                </c:pt>
                <c:pt idx="45">
                  <c:v>31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6-427A-943C-5889D32107B2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Sheet2!$A$2:$A$302</c:f>
              <c:multiLvlStrCache>
                <c:ptCount val="50"/>
                <c:lvl>
                  <c:pt idx="0">
                    <c:v>01/07/2026</c:v>
                  </c:pt>
                  <c:pt idx="1">
                    <c:v>10/07/2026</c:v>
                  </c:pt>
                  <c:pt idx="2">
                    <c:v>11/07/2026</c:v>
                  </c:pt>
                  <c:pt idx="3">
                    <c:v>12/07/2026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02/07/2026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01/07/2026</c:v>
                  </c:pt>
                  <c:pt idx="22">
                    <c:v>03/07/2026</c:v>
                  </c:pt>
                  <c:pt idx="23">
                    <c:v>02/07/2026</c:v>
                  </c:pt>
                  <c:pt idx="24">
                    <c:v>03/07/2026</c:v>
                  </c:pt>
                  <c:pt idx="25">
                    <c:v>04/07/2026</c:v>
                  </c:pt>
                  <c:pt idx="26">
                    <c:v>05/07/2026</c:v>
                  </c:pt>
                  <c:pt idx="27">
                    <c:v>06/07/2026</c:v>
                  </c:pt>
                  <c:pt idx="28">
                    <c:v>07/07/2026</c:v>
                  </c:pt>
                  <c:pt idx="29">
                    <c:v>08/07/2026</c:v>
                  </c:pt>
                  <c:pt idx="30">
                    <c:v>09/07/2026</c:v>
                  </c:pt>
                  <c:pt idx="31">
                    <c:v>10/07/2026</c:v>
                  </c:pt>
                  <c:pt idx="32">
                    <c:v>11/07/2026</c:v>
                  </c:pt>
                  <c:pt idx="33">
                    <c:v>04/07/2026</c:v>
                  </c:pt>
                  <c:pt idx="34">
                    <c:v>12/07/2026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05/07/2026</c:v>
                  </c:pt>
                  <c:pt idx="45">
                    <c:v>22/07/2026</c:v>
                  </c:pt>
                  <c:pt idx="46">
                    <c:v>06/07/2026</c:v>
                  </c:pt>
                  <c:pt idx="47">
                    <c:v>07/07/2026</c:v>
                  </c:pt>
                  <c:pt idx="48">
                    <c:v>08/07/2026</c:v>
                  </c:pt>
                  <c:pt idx="49">
                    <c:v>09/07/2026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Sheet2!$D$2:$D$302</c:f>
              <c:numCache>
                <c:formatCode>General</c:formatCode>
                <c:ptCount val="50"/>
                <c:pt idx="0">
                  <c:v>1</c:v>
                </c:pt>
                <c:pt idx="1">
                  <c:v>10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2</c:v>
                </c:pt>
                <c:pt idx="12">
                  <c:v>10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3</c:v>
                </c:pt>
                <c:pt idx="23">
                  <c:v>10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4</c:v>
                </c:pt>
                <c:pt idx="34">
                  <c:v>10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5</c:v>
                </c:pt>
                <c:pt idx="45">
                  <c:v>10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D6-427A-943C-5889D32107B2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Sheet2!$A$2:$A$302</c:f>
              <c:multiLvlStrCache>
                <c:ptCount val="50"/>
                <c:lvl>
                  <c:pt idx="0">
                    <c:v>01/07/2026</c:v>
                  </c:pt>
                  <c:pt idx="1">
                    <c:v>10/07/2026</c:v>
                  </c:pt>
                  <c:pt idx="2">
                    <c:v>11/07/2026</c:v>
                  </c:pt>
                  <c:pt idx="3">
                    <c:v>12/07/2026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02/07/2026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01/07/2026</c:v>
                  </c:pt>
                  <c:pt idx="22">
                    <c:v>03/07/2026</c:v>
                  </c:pt>
                  <c:pt idx="23">
                    <c:v>02/07/2026</c:v>
                  </c:pt>
                  <c:pt idx="24">
                    <c:v>03/07/2026</c:v>
                  </c:pt>
                  <c:pt idx="25">
                    <c:v>04/07/2026</c:v>
                  </c:pt>
                  <c:pt idx="26">
                    <c:v>05/07/2026</c:v>
                  </c:pt>
                  <c:pt idx="27">
                    <c:v>06/07/2026</c:v>
                  </c:pt>
                  <c:pt idx="28">
                    <c:v>07/07/2026</c:v>
                  </c:pt>
                  <c:pt idx="29">
                    <c:v>08/07/2026</c:v>
                  </c:pt>
                  <c:pt idx="30">
                    <c:v>09/07/2026</c:v>
                  </c:pt>
                  <c:pt idx="31">
                    <c:v>10/07/2026</c:v>
                  </c:pt>
                  <c:pt idx="32">
                    <c:v>11/07/2026</c:v>
                  </c:pt>
                  <c:pt idx="33">
                    <c:v>04/07/2026</c:v>
                  </c:pt>
                  <c:pt idx="34">
                    <c:v>12/07/2026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05/07/2026</c:v>
                  </c:pt>
                  <c:pt idx="45">
                    <c:v>22/07/2026</c:v>
                  </c:pt>
                  <c:pt idx="46">
                    <c:v>06/07/2026</c:v>
                  </c:pt>
                  <c:pt idx="47">
                    <c:v>07/07/2026</c:v>
                  </c:pt>
                  <c:pt idx="48">
                    <c:v>08/07/2026</c:v>
                  </c:pt>
                  <c:pt idx="49">
                    <c:v>09/07/2026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Sheet2!$E$2:$E$302</c:f>
              <c:numCache>
                <c:formatCode>General</c:formatCode>
                <c:ptCount val="50"/>
                <c:pt idx="0">
                  <c:v>450000</c:v>
                </c:pt>
                <c:pt idx="1">
                  <c:v>12000</c:v>
                </c:pt>
                <c:pt idx="2">
                  <c:v>450000</c:v>
                </c:pt>
                <c:pt idx="3">
                  <c:v>180000</c:v>
                </c:pt>
                <c:pt idx="4">
                  <c:v>120000</c:v>
                </c:pt>
                <c:pt idx="5">
                  <c:v>85000</c:v>
                </c:pt>
                <c:pt idx="6">
                  <c:v>80000</c:v>
                </c:pt>
                <c:pt idx="7">
                  <c:v>65000</c:v>
                </c:pt>
                <c:pt idx="8">
                  <c:v>55000</c:v>
                </c:pt>
                <c:pt idx="9">
                  <c:v>25000</c:v>
                </c:pt>
                <c:pt idx="10">
                  <c:v>15000</c:v>
                </c:pt>
                <c:pt idx="11">
                  <c:v>180000</c:v>
                </c:pt>
                <c:pt idx="12">
                  <c:v>12000</c:v>
                </c:pt>
                <c:pt idx="13">
                  <c:v>450000</c:v>
                </c:pt>
                <c:pt idx="14">
                  <c:v>180000</c:v>
                </c:pt>
                <c:pt idx="15">
                  <c:v>120000</c:v>
                </c:pt>
                <c:pt idx="16">
                  <c:v>85000</c:v>
                </c:pt>
                <c:pt idx="17">
                  <c:v>80000</c:v>
                </c:pt>
                <c:pt idx="18">
                  <c:v>65000</c:v>
                </c:pt>
                <c:pt idx="19">
                  <c:v>55000</c:v>
                </c:pt>
                <c:pt idx="20">
                  <c:v>25000</c:v>
                </c:pt>
                <c:pt idx="21">
                  <c:v>15000</c:v>
                </c:pt>
                <c:pt idx="22">
                  <c:v>120000</c:v>
                </c:pt>
                <c:pt idx="23">
                  <c:v>12000</c:v>
                </c:pt>
                <c:pt idx="24">
                  <c:v>450000</c:v>
                </c:pt>
                <c:pt idx="25">
                  <c:v>180000</c:v>
                </c:pt>
                <c:pt idx="26">
                  <c:v>120000</c:v>
                </c:pt>
                <c:pt idx="27">
                  <c:v>85000</c:v>
                </c:pt>
                <c:pt idx="28">
                  <c:v>80000</c:v>
                </c:pt>
                <c:pt idx="29">
                  <c:v>65000</c:v>
                </c:pt>
                <c:pt idx="30">
                  <c:v>55000</c:v>
                </c:pt>
                <c:pt idx="31">
                  <c:v>25000</c:v>
                </c:pt>
                <c:pt idx="32">
                  <c:v>15000</c:v>
                </c:pt>
                <c:pt idx="33">
                  <c:v>85000</c:v>
                </c:pt>
                <c:pt idx="34">
                  <c:v>12000</c:v>
                </c:pt>
                <c:pt idx="35">
                  <c:v>450000</c:v>
                </c:pt>
                <c:pt idx="36">
                  <c:v>180000</c:v>
                </c:pt>
                <c:pt idx="37">
                  <c:v>120000</c:v>
                </c:pt>
                <c:pt idx="38">
                  <c:v>85000</c:v>
                </c:pt>
                <c:pt idx="39">
                  <c:v>80000</c:v>
                </c:pt>
                <c:pt idx="40">
                  <c:v>65000</c:v>
                </c:pt>
                <c:pt idx="41">
                  <c:v>55000</c:v>
                </c:pt>
                <c:pt idx="42">
                  <c:v>25000</c:v>
                </c:pt>
                <c:pt idx="43">
                  <c:v>15000</c:v>
                </c:pt>
                <c:pt idx="44">
                  <c:v>80000</c:v>
                </c:pt>
                <c:pt idx="45">
                  <c:v>12000</c:v>
                </c:pt>
                <c:pt idx="46">
                  <c:v>65000</c:v>
                </c:pt>
                <c:pt idx="47">
                  <c:v>55000</c:v>
                </c:pt>
                <c:pt idx="48">
                  <c:v>25000</c:v>
                </c:pt>
                <c:pt idx="49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D6-427A-943C-5889D32107B2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Sheet2!$A$2:$A$302</c:f>
              <c:multiLvlStrCache>
                <c:ptCount val="50"/>
                <c:lvl>
                  <c:pt idx="0">
                    <c:v>01/07/2026</c:v>
                  </c:pt>
                  <c:pt idx="1">
                    <c:v>10/07/2026</c:v>
                  </c:pt>
                  <c:pt idx="2">
                    <c:v>11/07/2026</c:v>
                  </c:pt>
                  <c:pt idx="3">
                    <c:v>12/07/2026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02/07/2026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01/07/2026</c:v>
                  </c:pt>
                  <c:pt idx="22">
                    <c:v>03/07/2026</c:v>
                  </c:pt>
                  <c:pt idx="23">
                    <c:v>02/07/2026</c:v>
                  </c:pt>
                  <c:pt idx="24">
                    <c:v>03/07/2026</c:v>
                  </c:pt>
                  <c:pt idx="25">
                    <c:v>04/07/2026</c:v>
                  </c:pt>
                  <c:pt idx="26">
                    <c:v>05/07/2026</c:v>
                  </c:pt>
                  <c:pt idx="27">
                    <c:v>06/07/2026</c:v>
                  </c:pt>
                  <c:pt idx="28">
                    <c:v>07/07/2026</c:v>
                  </c:pt>
                  <c:pt idx="29">
                    <c:v>08/07/2026</c:v>
                  </c:pt>
                  <c:pt idx="30">
                    <c:v>09/07/2026</c:v>
                  </c:pt>
                  <c:pt idx="31">
                    <c:v>10/07/2026</c:v>
                  </c:pt>
                  <c:pt idx="32">
                    <c:v>11/07/2026</c:v>
                  </c:pt>
                  <c:pt idx="33">
                    <c:v>04/07/2026</c:v>
                  </c:pt>
                  <c:pt idx="34">
                    <c:v>12/07/2026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05/07/2026</c:v>
                  </c:pt>
                  <c:pt idx="45">
                    <c:v>22/07/2026</c:v>
                  </c:pt>
                  <c:pt idx="46">
                    <c:v>06/07/2026</c:v>
                  </c:pt>
                  <c:pt idx="47">
                    <c:v>07/07/2026</c:v>
                  </c:pt>
                  <c:pt idx="48">
                    <c:v>08/07/2026</c:v>
                  </c:pt>
                  <c:pt idx="49">
                    <c:v>09/07/2026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Sheet2!$F$2:$F$302</c:f>
              <c:numCache>
                <c:formatCode>General</c:formatCode>
                <c:ptCount val="50"/>
                <c:pt idx="0">
                  <c:v>450000</c:v>
                </c:pt>
                <c:pt idx="1">
                  <c:v>120000</c:v>
                </c:pt>
                <c:pt idx="2">
                  <c:v>450000</c:v>
                </c:pt>
                <c:pt idx="3">
                  <c:v>360000</c:v>
                </c:pt>
                <c:pt idx="4">
                  <c:v>360000</c:v>
                </c:pt>
                <c:pt idx="5">
                  <c:v>340000</c:v>
                </c:pt>
                <c:pt idx="6">
                  <c:v>400000</c:v>
                </c:pt>
                <c:pt idx="7">
                  <c:v>390000</c:v>
                </c:pt>
                <c:pt idx="8">
                  <c:v>385000</c:v>
                </c:pt>
                <c:pt idx="9">
                  <c:v>200000</c:v>
                </c:pt>
                <c:pt idx="10">
                  <c:v>135000</c:v>
                </c:pt>
                <c:pt idx="11">
                  <c:v>360000</c:v>
                </c:pt>
                <c:pt idx="12">
                  <c:v>120000</c:v>
                </c:pt>
                <c:pt idx="13">
                  <c:v>450000</c:v>
                </c:pt>
                <c:pt idx="14">
                  <c:v>360000</c:v>
                </c:pt>
                <c:pt idx="15">
                  <c:v>360000</c:v>
                </c:pt>
                <c:pt idx="16">
                  <c:v>340000</c:v>
                </c:pt>
                <c:pt idx="17">
                  <c:v>400000</c:v>
                </c:pt>
                <c:pt idx="18">
                  <c:v>390000</c:v>
                </c:pt>
                <c:pt idx="19">
                  <c:v>385000</c:v>
                </c:pt>
                <c:pt idx="20">
                  <c:v>200000</c:v>
                </c:pt>
                <c:pt idx="21">
                  <c:v>135000</c:v>
                </c:pt>
                <c:pt idx="22">
                  <c:v>360000</c:v>
                </c:pt>
                <c:pt idx="23">
                  <c:v>120000</c:v>
                </c:pt>
                <c:pt idx="24">
                  <c:v>450000</c:v>
                </c:pt>
                <c:pt idx="25">
                  <c:v>360000</c:v>
                </c:pt>
                <c:pt idx="26">
                  <c:v>360000</c:v>
                </c:pt>
                <c:pt idx="27">
                  <c:v>340000</c:v>
                </c:pt>
                <c:pt idx="28">
                  <c:v>400000</c:v>
                </c:pt>
                <c:pt idx="29">
                  <c:v>390000</c:v>
                </c:pt>
                <c:pt idx="30">
                  <c:v>385000</c:v>
                </c:pt>
                <c:pt idx="31">
                  <c:v>200000</c:v>
                </c:pt>
                <c:pt idx="32">
                  <c:v>135000</c:v>
                </c:pt>
                <c:pt idx="33">
                  <c:v>340000</c:v>
                </c:pt>
                <c:pt idx="34">
                  <c:v>120000</c:v>
                </c:pt>
                <c:pt idx="35">
                  <c:v>450000</c:v>
                </c:pt>
                <c:pt idx="36">
                  <c:v>360000</c:v>
                </c:pt>
                <c:pt idx="37">
                  <c:v>360000</c:v>
                </c:pt>
                <c:pt idx="38">
                  <c:v>340000</c:v>
                </c:pt>
                <c:pt idx="39">
                  <c:v>400000</c:v>
                </c:pt>
                <c:pt idx="40">
                  <c:v>390000</c:v>
                </c:pt>
                <c:pt idx="41">
                  <c:v>385000</c:v>
                </c:pt>
                <c:pt idx="42">
                  <c:v>200000</c:v>
                </c:pt>
                <c:pt idx="43">
                  <c:v>135000</c:v>
                </c:pt>
                <c:pt idx="44">
                  <c:v>400000</c:v>
                </c:pt>
                <c:pt idx="45">
                  <c:v>120000</c:v>
                </c:pt>
                <c:pt idx="46">
                  <c:v>390000</c:v>
                </c:pt>
                <c:pt idx="47">
                  <c:v>385000</c:v>
                </c:pt>
                <c:pt idx="48">
                  <c:v>200000</c:v>
                </c:pt>
                <c:pt idx="49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D6-427A-943C-5889D3210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871736"/>
        <c:axId val="541872088"/>
      </c:barChart>
      <c:catAx>
        <c:axId val="54187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72088"/>
        <c:crosses val="autoZero"/>
        <c:auto val="1"/>
        <c:lblAlgn val="ctr"/>
        <c:lblOffset val="100"/>
        <c:noMultiLvlLbl val="0"/>
      </c:catAx>
      <c:valAx>
        <c:axId val="54187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7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0</xdr:row>
      <xdr:rowOff>161925</xdr:rowOff>
    </xdr:from>
    <xdr:to>
      <xdr:col>15</xdr:col>
      <xdr:colOff>323850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59A2D-1759-4763-A9BF-3F000CFA9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UFOR CHRISTIAN" refreshedDate="46214.264471643517" createdVersion="8" refreshedVersion="8" minRefreshableVersion="3" recordCount="50" xr:uid="{5994776C-7F87-45CB-BC75-FF4F2F5DDB9B}">
  <cacheSource type="worksheet">
    <worksheetSource ref="A1:L51" sheet="Sheet"/>
  </cacheSource>
  <cacheFields count="12">
    <cacheField name="Customer_ID" numFmtId="0">
      <sharedItems containsSemiMixedTypes="0" containsString="0" containsNumber="1" containsInteger="1" minValue="1001" maxValue="1050" count="5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</sharedItems>
    </cacheField>
    <cacheField name="Customer_Name" numFmtId="0">
      <sharedItems count="50">
        <s v="Customer 1"/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Customer 16"/>
        <s v="Customer 17"/>
        <s v="Customer 18"/>
        <s v="Customer 19"/>
        <s v="Customer 20"/>
        <s v="Customer 21"/>
        <s v="Customer 22"/>
        <s v="Customer 23"/>
        <s v="Customer 24"/>
        <s v="Customer 25"/>
        <s v="Customer 26"/>
        <s v="Customer 27"/>
        <s v="Customer 28"/>
        <s v="Customer 29"/>
        <s v="Customer 30"/>
        <s v="Customer 31"/>
        <s v="Customer 32"/>
        <s v="Customer 33"/>
        <s v="Customer 34"/>
        <s v="Customer 35"/>
        <s v="Customer 36"/>
        <s v="Customer 37"/>
        <s v="Customer 38"/>
        <s v="Customer 39"/>
        <s v="Customer 40"/>
        <s v="Customer 41"/>
        <s v="Customer 42"/>
        <s v="Customer 43"/>
        <s v="Customer 44"/>
        <s v="Customer 45"/>
        <s v="Customer 46"/>
        <s v="Customer 47"/>
        <s v="Customer 48"/>
        <s v="Customer 49"/>
        <s v="Customer 5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41"/>
    </cacheField>
    <cacheField name="City" numFmtId="0">
      <sharedItems count="6">
        <s v="Abuja"/>
        <s v="Lagos"/>
        <s v="Port Harcourt"/>
        <s v="Enugu"/>
        <s v="Owerri"/>
        <s v="Kano"/>
      </sharedItems>
    </cacheField>
    <cacheField name="Product" numFmtId="0">
      <sharedItems count="10">
        <s v="Laptop"/>
        <s v="Monitor"/>
        <s v="Printer"/>
        <s v="Desk"/>
        <s v="UPS"/>
        <s v="Router"/>
        <s v="Chair"/>
        <s v="Keyboard"/>
        <s v="Mouse"/>
        <s v="Flash Drive"/>
      </sharedItems>
    </cacheField>
    <cacheField name="Category" numFmtId="0">
      <sharedItems count="3">
        <s v="Electronics"/>
        <s v="Office"/>
        <s v="Accessories"/>
      </sharedItems>
    </cacheField>
    <cacheField name="Quantit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Unit_Price" numFmtId="0">
      <sharedItems containsSemiMixedTypes="0" containsString="0" containsNumber="1" containsInteger="1" minValue="12000" maxValue="450000"/>
    </cacheField>
    <cacheField name="Total_Sales" numFmtId="0">
      <sharedItems containsSemiMixedTypes="0" containsString="0" containsNumber="1" containsInteger="1" minValue="120000" maxValue="450000" count="9">
        <n v="450000"/>
        <n v="360000"/>
        <n v="340000"/>
        <n v="400000"/>
        <n v="390000"/>
        <n v="385000"/>
        <n v="200000"/>
        <n v="135000"/>
        <n v="120000"/>
      </sharedItems>
    </cacheField>
    <cacheField name="Sales_Date" numFmtId="0">
      <sharedItems count="28">
        <s v="01/07/2026"/>
        <s v="02/07/2026"/>
        <s v="03/07/2026"/>
        <s v="04/07/2026"/>
        <s v="05/07/2026"/>
        <s v="06/07/2026"/>
        <s v="07/07/2026"/>
        <s v="08/07/2026"/>
        <s v="09/07/2026"/>
        <s v="10/07/2026"/>
        <s v="11/07/2026"/>
        <s v="12/07/2026"/>
        <s v="13/07/2026"/>
        <s v="14/07/2026"/>
        <s v="15/07/2026"/>
        <s v="16/07/2026"/>
        <s v="17/07/2026"/>
        <s v="18/07/2026"/>
        <s v="19/07/2026"/>
        <s v="20/07/2026"/>
        <s v="21/07/2026"/>
        <s v="22/07/2026"/>
        <s v="23/07/2026"/>
        <s v="24/07/2026"/>
        <s v="25/07/2026"/>
        <s v="26/07/2026"/>
        <s v="27/07/2026"/>
        <s v="28/07/2026"/>
      </sharedItems>
    </cacheField>
    <cacheField name="Payment_Method" numFmtId="0">
      <sharedItems count="3">
        <s v="Cash"/>
        <s v="Transfer"/>
        <s v="P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n v="22"/>
    <x v="0"/>
    <x v="0"/>
    <x v="0"/>
    <x v="0"/>
    <n v="450000"/>
    <x v="0"/>
    <x v="0"/>
    <x v="0"/>
  </r>
  <r>
    <x v="1"/>
    <x v="1"/>
    <x v="1"/>
    <n v="23"/>
    <x v="1"/>
    <x v="1"/>
    <x v="0"/>
    <x v="1"/>
    <n v="180000"/>
    <x v="1"/>
    <x v="1"/>
    <x v="1"/>
  </r>
  <r>
    <x v="2"/>
    <x v="2"/>
    <x v="0"/>
    <n v="24"/>
    <x v="2"/>
    <x v="2"/>
    <x v="1"/>
    <x v="2"/>
    <n v="120000"/>
    <x v="1"/>
    <x v="2"/>
    <x v="2"/>
  </r>
  <r>
    <x v="3"/>
    <x v="3"/>
    <x v="1"/>
    <n v="25"/>
    <x v="3"/>
    <x v="3"/>
    <x v="1"/>
    <x v="3"/>
    <n v="85000"/>
    <x v="2"/>
    <x v="3"/>
    <x v="0"/>
  </r>
  <r>
    <x v="4"/>
    <x v="4"/>
    <x v="0"/>
    <n v="26"/>
    <x v="4"/>
    <x v="4"/>
    <x v="0"/>
    <x v="4"/>
    <n v="80000"/>
    <x v="3"/>
    <x v="4"/>
    <x v="1"/>
  </r>
  <r>
    <x v="5"/>
    <x v="5"/>
    <x v="1"/>
    <n v="27"/>
    <x v="5"/>
    <x v="5"/>
    <x v="0"/>
    <x v="5"/>
    <n v="65000"/>
    <x v="4"/>
    <x v="5"/>
    <x v="2"/>
  </r>
  <r>
    <x v="6"/>
    <x v="6"/>
    <x v="0"/>
    <n v="28"/>
    <x v="0"/>
    <x v="6"/>
    <x v="1"/>
    <x v="6"/>
    <n v="55000"/>
    <x v="5"/>
    <x v="6"/>
    <x v="0"/>
  </r>
  <r>
    <x v="7"/>
    <x v="7"/>
    <x v="1"/>
    <n v="29"/>
    <x v="1"/>
    <x v="7"/>
    <x v="2"/>
    <x v="7"/>
    <n v="25000"/>
    <x v="6"/>
    <x v="7"/>
    <x v="1"/>
  </r>
  <r>
    <x v="8"/>
    <x v="8"/>
    <x v="0"/>
    <n v="30"/>
    <x v="2"/>
    <x v="8"/>
    <x v="2"/>
    <x v="8"/>
    <n v="15000"/>
    <x v="7"/>
    <x v="8"/>
    <x v="2"/>
  </r>
  <r>
    <x v="9"/>
    <x v="9"/>
    <x v="1"/>
    <n v="31"/>
    <x v="3"/>
    <x v="9"/>
    <x v="2"/>
    <x v="9"/>
    <n v="12000"/>
    <x v="8"/>
    <x v="9"/>
    <x v="0"/>
  </r>
  <r>
    <x v="10"/>
    <x v="10"/>
    <x v="0"/>
    <n v="32"/>
    <x v="4"/>
    <x v="0"/>
    <x v="0"/>
    <x v="0"/>
    <n v="450000"/>
    <x v="0"/>
    <x v="10"/>
    <x v="1"/>
  </r>
  <r>
    <x v="11"/>
    <x v="11"/>
    <x v="1"/>
    <n v="33"/>
    <x v="5"/>
    <x v="1"/>
    <x v="0"/>
    <x v="1"/>
    <n v="180000"/>
    <x v="1"/>
    <x v="11"/>
    <x v="2"/>
  </r>
  <r>
    <x v="12"/>
    <x v="12"/>
    <x v="0"/>
    <n v="34"/>
    <x v="0"/>
    <x v="2"/>
    <x v="1"/>
    <x v="2"/>
    <n v="120000"/>
    <x v="1"/>
    <x v="12"/>
    <x v="0"/>
  </r>
  <r>
    <x v="13"/>
    <x v="13"/>
    <x v="1"/>
    <n v="35"/>
    <x v="1"/>
    <x v="3"/>
    <x v="1"/>
    <x v="3"/>
    <n v="85000"/>
    <x v="2"/>
    <x v="13"/>
    <x v="1"/>
  </r>
  <r>
    <x v="14"/>
    <x v="14"/>
    <x v="0"/>
    <n v="36"/>
    <x v="2"/>
    <x v="4"/>
    <x v="0"/>
    <x v="4"/>
    <n v="80000"/>
    <x v="3"/>
    <x v="14"/>
    <x v="2"/>
  </r>
  <r>
    <x v="15"/>
    <x v="15"/>
    <x v="1"/>
    <n v="37"/>
    <x v="3"/>
    <x v="5"/>
    <x v="0"/>
    <x v="5"/>
    <n v="65000"/>
    <x v="4"/>
    <x v="15"/>
    <x v="0"/>
  </r>
  <r>
    <x v="16"/>
    <x v="16"/>
    <x v="0"/>
    <n v="38"/>
    <x v="4"/>
    <x v="6"/>
    <x v="1"/>
    <x v="6"/>
    <n v="55000"/>
    <x v="5"/>
    <x v="16"/>
    <x v="1"/>
  </r>
  <r>
    <x v="17"/>
    <x v="17"/>
    <x v="1"/>
    <n v="39"/>
    <x v="5"/>
    <x v="7"/>
    <x v="2"/>
    <x v="7"/>
    <n v="25000"/>
    <x v="6"/>
    <x v="17"/>
    <x v="2"/>
  </r>
  <r>
    <x v="18"/>
    <x v="18"/>
    <x v="0"/>
    <n v="40"/>
    <x v="0"/>
    <x v="8"/>
    <x v="2"/>
    <x v="8"/>
    <n v="15000"/>
    <x v="7"/>
    <x v="18"/>
    <x v="0"/>
  </r>
  <r>
    <x v="19"/>
    <x v="19"/>
    <x v="1"/>
    <n v="41"/>
    <x v="1"/>
    <x v="9"/>
    <x v="2"/>
    <x v="9"/>
    <n v="12000"/>
    <x v="8"/>
    <x v="19"/>
    <x v="1"/>
  </r>
  <r>
    <x v="20"/>
    <x v="20"/>
    <x v="0"/>
    <n v="22"/>
    <x v="2"/>
    <x v="0"/>
    <x v="0"/>
    <x v="0"/>
    <n v="450000"/>
    <x v="0"/>
    <x v="20"/>
    <x v="2"/>
  </r>
  <r>
    <x v="21"/>
    <x v="21"/>
    <x v="1"/>
    <n v="23"/>
    <x v="3"/>
    <x v="1"/>
    <x v="0"/>
    <x v="1"/>
    <n v="180000"/>
    <x v="1"/>
    <x v="21"/>
    <x v="0"/>
  </r>
  <r>
    <x v="22"/>
    <x v="22"/>
    <x v="0"/>
    <n v="24"/>
    <x v="4"/>
    <x v="2"/>
    <x v="1"/>
    <x v="2"/>
    <n v="120000"/>
    <x v="1"/>
    <x v="22"/>
    <x v="1"/>
  </r>
  <r>
    <x v="23"/>
    <x v="23"/>
    <x v="1"/>
    <n v="25"/>
    <x v="5"/>
    <x v="3"/>
    <x v="1"/>
    <x v="3"/>
    <n v="85000"/>
    <x v="2"/>
    <x v="23"/>
    <x v="2"/>
  </r>
  <r>
    <x v="24"/>
    <x v="24"/>
    <x v="0"/>
    <n v="26"/>
    <x v="0"/>
    <x v="4"/>
    <x v="0"/>
    <x v="4"/>
    <n v="80000"/>
    <x v="3"/>
    <x v="24"/>
    <x v="0"/>
  </r>
  <r>
    <x v="25"/>
    <x v="25"/>
    <x v="1"/>
    <n v="27"/>
    <x v="1"/>
    <x v="5"/>
    <x v="0"/>
    <x v="5"/>
    <n v="65000"/>
    <x v="4"/>
    <x v="25"/>
    <x v="1"/>
  </r>
  <r>
    <x v="26"/>
    <x v="26"/>
    <x v="0"/>
    <n v="28"/>
    <x v="2"/>
    <x v="6"/>
    <x v="1"/>
    <x v="6"/>
    <n v="55000"/>
    <x v="5"/>
    <x v="26"/>
    <x v="2"/>
  </r>
  <r>
    <x v="27"/>
    <x v="27"/>
    <x v="1"/>
    <n v="29"/>
    <x v="3"/>
    <x v="7"/>
    <x v="2"/>
    <x v="7"/>
    <n v="25000"/>
    <x v="6"/>
    <x v="27"/>
    <x v="0"/>
  </r>
  <r>
    <x v="28"/>
    <x v="28"/>
    <x v="0"/>
    <n v="30"/>
    <x v="4"/>
    <x v="8"/>
    <x v="2"/>
    <x v="8"/>
    <n v="15000"/>
    <x v="7"/>
    <x v="0"/>
    <x v="1"/>
  </r>
  <r>
    <x v="29"/>
    <x v="29"/>
    <x v="1"/>
    <n v="31"/>
    <x v="5"/>
    <x v="9"/>
    <x v="2"/>
    <x v="9"/>
    <n v="12000"/>
    <x v="8"/>
    <x v="1"/>
    <x v="2"/>
  </r>
  <r>
    <x v="30"/>
    <x v="30"/>
    <x v="0"/>
    <n v="32"/>
    <x v="0"/>
    <x v="0"/>
    <x v="0"/>
    <x v="0"/>
    <n v="450000"/>
    <x v="0"/>
    <x v="2"/>
    <x v="0"/>
  </r>
  <r>
    <x v="31"/>
    <x v="31"/>
    <x v="1"/>
    <n v="33"/>
    <x v="1"/>
    <x v="1"/>
    <x v="0"/>
    <x v="1"/>
    <n v="180000"/>
    <x v="1"/>
    <x v="3"/>
    <x v="1"/>
  </r>
  <r>
    <x v="32"/>
    <x v="32"/>
    <x v="0"/>
    <n v="34"/>
    <x v="2"/>
    <x v="2"/>
    <x v="1"/>
    <x v="2"/>
    <n v="120000"/>
    <x v="1"/>
    <x v="4"/>
    <x v="2"/>
  </r>
  <r>
    <x v="33"/>
    <x v="33"/>
    <x v="1"/>
    <n v="35"/>
    <x v="3"/>
    <x v="3"/>
    <x v="1"/>
    <x v="3"/>
    <n v="85000"/>
    <x v="2"/>
    <x v="5"/>
    <x v="0"/>
  </r>
  <r>
    <x v="34"/>
    <x v="34"/>
    <x v="0"/>
    <n v="36"/>
    <x v="4"/>
    <x v="4"/>
    <x v="0"/>
    <x v="4"/>
    <n v="80000"/>
    <x v="3"/>
    <x v="6"/>
    <x v="1"/>
  </r>
  <r>
    <x v="35"/>
    <x v="35"/>
    <x v="1"/>
    <n v="37"/>
    <x v="5"/>
    <x v="5"/>
    <x v="0"/>
    <x v="5"/>
    <n v="65000"/>
    <x v="4"/>
    <x v="7"/>
    <x v="2"/>
  </r>
  <r>
    <x v="36"/>
    <x v="36"/>
    <x v="0"/>
    <n v="38"/>
    <x v="0"/>
    <x v="6"/>
    <x v="1"/>
    <x v="6"/>
    <n v="55000"/>
    <x v="5"/>
    <x v="8"/>
    <x v="0"/>
  </r>
  <r>
    <x v="37"/>
    <x v="37"/>
    <x v="1"/>
    <n v="39"/>
    <x v="1"/>
    <x v="7"/>
    <x v="2"/>
    <x v="7"/>
    <n v="25000"/>
    <x v="6"/>
    <x v="9"/>
    <x v="1"/>
  </r>
  <r>
    <x v="38"/>
    <x v="38"/>
    <x v="0"/>
    <n v="40"/>
    <x v="2"/>
    <x v="8"/>
    <x v="2"/>
    <x v="8"/>
    <n v="15000"/>
    <x v="7"/>
    <x v="10"/>
    <x v="2"/>
  </r>
  <r>
    <x v="39"/>
    <x v="39"/>
    <x v="1"/>
    <n v="41"/>
    <x v="3"/>
    <x v="9"/>
    <x v="2"/>
    <x v="9"/>
    <n v="12000"/>
    <x v="8"/>
    <x v="11"/>
    <x v="0"/>
  </r>
  <r>
    <x v="40"/>
    <x v="40"/>
    <x v="0"/>
    <n v="22"/>
    <x v="4"/>
    <x v="0"/>
    <x v="0"/>
    <x v="0"/>
    <n v="450000"/>
    <x v="0"/>
    <x v="12"/>
    <x v="1"/>
  </r>
  <r>
    <x v="41"/>
    <x v="41"/>
    <x v="1"/>
    <n v="23"/>
    <x v="5"/>
    <x v="1"/>
    <x v="0"/>
    <x v="1"/>
    <n v="180000"/>
    <x v="1"/>
    <x v="13"/>
    <x v="2"/>
  </r>
  <r>
    <x v="42"/>
    <x v="42"/>
    <x v="0"/>
    <n v="24"/>
    <x v="0"/>
    <x v="2"/>
    <x v="1"/>
    <x v="2"/>
    <n v="120000"/>
    <x v="1"/>
    <x v="14"/>
    <x v="0"/>
  </r>
  <r>
    <x v="43"/>
    <x v="43"/>
    <x v="1"/>
    <n v="25"/>
    <x v="1"/>
    <x v="3"/>
    <x v="1"/>
    <x v="3"/>
    <n v="85000"/>
    <x v="2"/>
    <x v="15"/>
    <x v="1"/>
  </r>
  <r>
    <x v="44"/>
    <x v="44"/>
    <x v="0"/>
    <n v="26"/>
    <x v="2"/>
    <x v="4"/>
    <x v="0"/>
    <x v="4"/>
    <n v="80000"/>
    <x v="3"/>
    <x v="16"/>
    <x v="2"/>
  </r>
  <r>
    <x v="45"/>
    <x v="45"/>
    <x v="1"/>
    <n v="27"/>
    <x v="3"/>
    <x v="5"/>
    <x v="0"/>
    <x v="5"/>
    <n v="65000"/>
    <x v="4"/>
    <x v="17"/>
    <x v="0"/>
  </r>
  <r>
    <x v="46"/>
    <x v="46"/>
    <x v="0"/>
    <n v="28"/>
    <x v="4"/>
    <x v="6"/>
    <x v="1"/>
    <x v="6"/>
    <n v="55000"/>
    <x v="5"/>
    <x v="18"/>
    <x v="1"/>
  </r>
  <r>
    <x v="47"/>
    <x v="47"/>
    <x v="1"/>
    <n v="29"/>
    <x v="5"/>
    <x v="7"/>
    <x v="2"/>
    <x v="7"/>
    <n v="25000"/>
    <x v="6"/>
    <x v="19"/>
    <x v="2"/>
  </r>
  <r>
    <x v="48"/>
    <x v="48"/>
    <x v="0"/>
    <n v="30"/>
    <x v="0"/>
    <x v="8"/>
    <x v="2"/>
    <x v="8"/>
    <n v="15000"/>
    <x v="7"/>
    <x v="20"/>
    <x v="0"/>
  </r>
  <r>
    <x v="49"/>
    <x v="49"/>
    <x v="1"/>
    <n v="31"/>
    <x v="1"/>
    <x v="9"/>
    <x v="2"/>
    <x v="9"/>
    <n v="12000"/>
    <x v="8"/>
    <x v="2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74177-11D0-404B-8FC3-532A065ACC5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:F65" firstHeaderRow="1" firstDataRow="1" firstDataCol="1"/>
  <pivotFields count="12">
    <pivotField showAll="0"/>
    <pivotField axis="axisRow" showAll="0" sortType="ascending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1">
    <i>
      <x v="23"/>
    </i>
    <i>
      <x v="12"/>
    </i>
    <i>
      <x v="1"/>
    </i>
    <i>
      <x v="45"/>
    </i>
    <i>
      <x v="34"/>
    </i>
    <i>
      <x v="49"/>
    </i>
    <i>
      <x v="21"/>
    </i>
    <i>
      <x v="32"/>
    </i>
    <i>
      <x v="43"/>
    </i>
    <i>
      <x v="10"/>
    </i>
    <i>
      <x v="31"/>
    </i>
    <i>
      <x v="48"/>
    </i>
    <i>
      <x v="20"/>
    </i>
    <i>
      <x v="9"/>
    </i>
    <i>
      <x v="42"/>
    </i>
    <i>
      <x v="27"/>
    </i>
    <i>
      <x v="33"/>
    </i>
    <i>
      <x v="16"/>
    </i>
    <i>
      <x v="38"/>
    </i>
    <i>
      <x v="5"/>
    </i>
    <i>
      <x v="25"/>
    </i>
    <i>
      <x v="36"/>
    </i>
    <i>
      <x v="37"/>
    </i>
    <i>
      <x v="11"/>
    </i>
    <i>
      <x v="26"/>
    </i>
    <i>
      <x v="22"/>
    </i>
    <i>
      <x v="15"/>
    </i>
    <i>
      <x v="3"/>
    </i>
    <i>
      <x v="4"/>
    </i>
    <i>
      <x v="14"/>
    </i>
    <i>
      <x v="41"/>
    </i>
    <i>
      <x v="8"/>
    </i>
    <i>
      <x v="30"/>
    </i>
    <i>
      <x v="19"/>
    </i>
    <i>
      <x v="47"/>
    </i>
    <i>
      <x v="18"/>
    </i>
    <i>
      <x v="7"/>
    </i>
    <i>
      <x v="29"/>
    </i>
    <i>
      <x v="46"/>
    </i>
    <i>
      <x v="40"/>
    </i>
    <i>
      <x v="44"/>
    </i>
    <i>
      <x v="17"/>
    </i>
    <i>
      <x v="6"/>
    </i>
    <i>
      <x v="28"/>
    </i>
    <i>
      <x v="39"/>
    </i>
    <i>
      <x v="24"/>
    </i>
    <i>
      <x v="35"/>
    </i>
    <i>
      <x v="13"/>
    </i>
    <i>
      <x v="2"/>
    </i>
    <i>
      <x/>
    </i>
    <i t="grand">
      <x/>
    </i>
  </rowItems>
  <colItems count="1">
    <i/>
  </colItems>
  <dataFields count="1">
    <dataField name="Sum of Total_Sales" fld="9" baseField="1" baseItem="2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DFBC9-89E8-4AC6-9242-8EB1ED0BE8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Row" showAll="0">
      <items count="10">
        <item x="8"/>
        <item x="7"/>
        <item x="6"/>
        <item x="2"/>
        <item x="1"/>
        <item x="5"/>
        <item x="4"/>
        <item x="3"/>
        <item x="0"/>
        <item t="default"/>
      </items>
    </pivotField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Unit_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C3399-833D-4C70-AEF3-04D6E1AD479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9:I70" firstHeaderRow="1" firstDataRow="1" firstDataCol="1"/>
  <pivotFields count="12">
    <pivotField showAll="0"/>
    <pivotField axis="axisRow" showAll="0" sortType="descending">
      <items count="51">
        <item x="8"/>
        <item x="7"/>
        <item x="6"/>
        <item x="5"/>
        <item x="49"/>
        <item x="4"/>
        <item x="48"/>
        <item x="47"/>
        <item x="46"/>
        <item x="45"/>
        <item x="44"/>
        <item x="43"/>
        <item x="42"/>
        <item x="41"/>
        <item x="40"/>
        <item x="39"/>
        <item x="3"/>
        <item x="38"/>
        <item x="37"/>
        <item x="36"/>
        <item x="35"/>
        <item x="34"/>
        <item x="33"/>
        <item x="32"/>
        <item x="31"/>
        <item x="30"/>
        <item x="29"/>
        <item x="2"/>
        <item x="28"/>
        <item x="27"/>
        <item x="26"/>
        <item x="25"/>
        <item x="24"/>
        <item x="23"/>
        <item x="22"/>
        <item x="21"/>
        <item x="20"/>
        <item x="19"/>
        <item x="1"/>
        <item x="18"/>
        <item x="17"/>
        <item x="16"/>
        <item x="15"/>
        <item x="14"/>
        <item x="13"/>
        <item x="12"/>
        <item x="11"/>
        <item x="10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1">
    <i>
      <x v="36"/>
    </i>
    <i>
      <x v="49"/>
    </i>
    <i>
      <x v="47"/>
    </i>
    <i>
      <x v="14"/>
    </i>
    <i>
      <x v="25"/>
    </i>
    <i>
      <x v="32"/>
    </i>
    <i>
      <x v="43"/>
    </i>
    <i>
      <x v="5"/>
    </i>
    <i>
      <x v="10"/>
    </i>
    <i>
      <x v="21"/>
    </i>
    <i>
      <x v="31"/>
    </i>
    <i>
      <x v="20"/>
    </i>
    <i>
      <x v="42"/>
    </i>
    <i>
      <x v="9"/>
    </i>
    <i>
      <x v="3"/>
    </i>
    <i>
      <x v="8"/>
    </i>
    <i>
      <x v="19"/>
    </i>
    <i>
      <x v="2"/>
    </i>
    <i>
      <x v="41"/>
    </i>
    <i>
      <x v="30"/>
    </i>
    <i>
      <x v="46"/>
    </i>
    <i>
      <x v="12"/>
    </i>
    <i>
      <x v="35"/>
    </i>
    <i>
      <x v="27"/>
    </i>
    <i>
      <x v="45"/>
    </i>
    <i>
      <x v="38"/>
    </i>
    <i>
      <x v="34"/>
    </i>
    <i>
      <x v="13"/>
    </i>
    <i>
      <x v="23"/>
    </i>
    <i>
      <x v="24"/>
    </i>
    <i>
      <x v="22"/>
    </i>
    <i>
      <x v="44"/>
    </i>
    <i>
      <x v="16"/>
    </i>
    <i>
      <x v="33"/>
    </i>
    <i>
      <x v="11"/>
    </i>
    <i>
      <x v="1"/>
    </i>
    <i>
      <x v="40"/>
    </i>
    <i>
      <x v="18"/>
    </i>
    <i>
      <x v="29"/>
    </i>
    <i>
      <x v="7"/>
    </i>
    <i>
      <x v="28"/>
    </i>
    <i>
      <x v="17"/>
    </i>
    <i>
      <x/>
    </i>
    <i>
      <x v="6"/>
    </i>
    <i>
      <x v="39"/>
    </i>
    <i>
      <x v="48"/>
    </i>
    <i>
      <x v="26"/>
    </i>
    <i>
      <x v="37"/>
    </i>
    <i>
      <x v="15"/>
    </i>
    <i>
      <x v="4"/>
    </i>
    <i t="grand">
      <x/>
    </i>
  </rowItems>
  <colItems count="1">
    <i/>
  </colItems>
  <dataFields count="1">
    <dataField name="Sum of Total_Sales" fld="9" baseField="1" baseItem="3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4B82B-F7BE-44A9-8E57-8997A3CE04B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0" firstHeaderRow="1" firstDataRow="1" firstDataCol="1"/>
  <pivotFields count="12">
    <pivotField showAll="0"/>
    <pivotField showAll="0"/>
    <pivotField showAll="0"/>
    <pivotField showAll="0"/>
    <pivotField showAll="0"/>
    <pivotField showAll="0" sortType="ascending">
      <items count="11">
        <item x="6"/>
        <item x="3"/>
        <item x="9"/>
        <item x="7"/>
        <item x="0"/>
        <item x="1"/>
        <item x="8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Total_Sales" fld="9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3C74A-E271-41DC-B79A-87EEBA58C62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4" firstHeaderRow="1" firstDataRow="1" firstDataCol="1"/>
  <pivotFields count="12">
    <pivotField showAll="0"/>
    <pivotField showAll="0"/>
    <pivotField showAll="0"/>
    <pivotField showAll="0"/>
    <pivotField showAll="0"/>
    <pivotField axis="axisRow" showAll="0" sortType="descending">
      <items count="11">
        <item x="4"/>
        <item x="5"/>
        <item x="2"/>
        <item x="8"/>
        <item x="1"/>
        <item x="0"/>
        <item x="7"/>
        <item x="9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11">
    <i>
      <x v="7"/>
    </i>
    <i>
      <x v="3"/>
    </i>
    <i>
      <x v="6"/>
    </i>
    <i>
      <x v="9"/>
    </i>
    <i>
      <x v="1"/>
    </i>
    <i>
      <x/>
    </i>
    <i>
      <x v="8"/>
    </i>
    <i>
      <x v="2"/>
    </i>
    <i>
      <x v="4"/>
    </i>
    <i>
      <x v="5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3D698-7F5A-4F92-8366-F8B2151F92FA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24" firstHeaderRow="0" firstDataRow="0" firstDataCol="0"/>
  <pivotFields count="12">
    <pivotField showAll="0"/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09AF1-C992-4214-8254-9BEAEF85292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A25" firstHeaderRow="1" firstDataRow="1" firstDataCol="0"/>
  <pivotFields count="12">
    <pivotField showAll="0"/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15324-599A-4228-81DF-0D2299FD3D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0" firstHeaderRow="1" firstDataRow="1" firstDataCol="1"/>
  <pivotFields count="12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/>
    <pivotField showAll="0"/>
    <pivotField axis="axisRow" showAll="0" sortType="descending">
      <items count="7">
        <item x="0"/>
        <item x="3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">
    <i>
      <x/>
    </i>
    <i>
      <x v="4"/>
    </i>
    <i>
      <x v="5"/>
    </i>
    <i>
      <x v="3"/>
    </i>
    <i>
      <x v="2"/>
    </i>
    <i>
      <x v="1"/>
    </i>
    <i t="grand">
      <x/>
    </i>
  </rowItems>
  <colItems count="1">
    <i/>
  </colItems>
  <dataFields count="1">
    <dataField name="Sum of Total_Sales" fld="9" baseField="4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9FEFD-4850-4052-A5C8-E67A3D0753F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302" firstHeaderRow="0" firstDataRow="1" firstDataCol="1"/>
  <pivotFields count="12">
    <pivotField dataField="1" showAll="0"/>
    <pivotField axis="axisRow"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7">
        <item x="0"/>
        <item x="3"/>
        <item x="5"/>
        <item x="1"/>
        <item x="4"/>
        <item x="2"/>
        <item t="default"/>
      </items>
    </pivotField>
    <pivotField axis="axisRow" showAll="0">
      <items count="11">
        <item x="6"/>
        <item x="3"/>
        <item x="9"/>
        <item x="7"/>
        <item x="0"/>
        <item x="1"/>
        <item x="8"/>
        <item x="2"/>
        <item x="5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axis="axisRow" showAll="0">
      <items count="2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t="default" sd="0"/>
      </items>
    </pivotField>
    <pivotField axis="axisRow" showAll="0">
      <items count="4">
        <item x="0"/>
        <item x="2"/>
        <item x="1"/>
        <item t="default"/>
      </items>
    </pivotField>
  </pivotFields>
  <rowFields count="7">
    <field x="1"/>
    <field x="2"/>
    <field x="4"/>
    <field x="5"/>
    <field x="6"/>
    <field x="10"/>
    <field x="11"/>
  </rowFields>
  <rowItems count="301">
    <i>
      <x/>
    </i>
    <i r="1">
      <x v="1"/>
    </i>
    <i r="2">
      <x/>
    </i>
    <i r="3">
      <x v="4"/>
    </i>
    <i r="4">
      <x v="1"/>
    </i>
    <i r="5">
      <x/>
    </i>
    <i>
      <x v="1"/>
    </i>
    <i r="1">
      <x/>
    </i>
    <i r="2">
      <x v="1"/>
    </i>
    <i r="3">
      <x v="2"/>
    </i>
    <i r="4">
      <x/>
    </i>
    <i r="5">
      <x v="9"/>
    </i>
    <i>
      <x v="2"/>
    </i>
    <i r="1">
      <x v="1"/>
    </i>
    <i r="2">
      <x v="4"/>
    </i>
    <i r="3">
      <x v="4"/>
    </i>
    <i r="4">
      <x v="1"/>
    </i>
    <i r="5">
      <x v="10"/>
    </i>
    <i>
      <x v="3"/>
    </i>
    <i r="1">
      <x/>
    </i>
    <i r="2">
      <x v="2"/>
    </i>
    <i r="3">
      <x v="5"/>
    </i>
    <i r="4">
      <x v="1"/>
    </i>
    <i r="5">
      <x v="11"/>
    </i>
    <i>
      <x v="4"/>
    </i>
    <i r="1">
      <x v="1"/>
    </i>
    <i r="2">
      <x/>
    </i>
    <i r="3">
      <x v="7"/>
    </i>
    <i r="4">
      <x v="2"/>
    </i>
    <i r="5">
      <x v="12"/>
    </i>
    <i>
      <x v="5"/>
    </i>
    <i r="1">
      <x/>
    </i>
    <i r="2">
      <x v="3"/>
    </i>
    <i r="3">
      <x v="1"/>
    </i>
    <i r="4">
      <x v="2"/>
    </i>
    <i r="5">
      <x v="13"/>
    </i>
    <i>
      <x v="6"/>
    </i>
    <i r="1">
      <x v="1"/>
    </i>
    <i r="2">
      <x v="5"/>
    </i>
    <i r="3">
      <x v="9"/>
    </i>
    <i r="4">
      <x v="1"/>
    </i>
    <i r="5">
      <x v="14"/>
    </i>
    <i>
      <x v="7"/>
    </i>
    <i r="1">
      <x/>
    </i>
    <i r="2">
      <x v="1"/>
    </i>
    <i r="3">
      <x v="8"/>
    </i>
    <i r="4">
      <x v="1"/>
    </i>
    <i r="5">
      <x v="15"/>
    </i>
    <i>
      <x v="8"/>
    </i>
    <i r="1">
      <x v="1"/>
    </i>
    <i r="2">
      <x v="4"/>
    </i>
    <i r="3">
      <x/>
    </i>
    <i r="4">
      <x v="2"/>
    </i>
    <i r="5">
      <x v="16"/>
    </i>
    <i>
      <x v="9"/>
    </i>
    <i r="1">
      <x/>
    </i>
    <i r="2">
      <x v="2"/>
    </i>
    <i r="3">
      <x v="3"/>
    </i>
    <i r="4">
      <x/>
    </i>
    <i r="5">
      <x v="17"/>
    </i>
    <i>
      <x v="10"/>
    </i>
    <i r="1">
      <x v="1"/>
    </i>
    <i r="2">
      <x/>
    </i>
    <i r="3">
      <x v="6"/>
    </i>
    <i r="4">
      <x/>
    </i>
    <i r="5">
      <x v="18"/>
    </i>
    <i>
      <x v="11"/>
    </i>
    <i r="1">
      <x/>
    </i>
    <i r="2">
      <x v="3"/>
    </i>
    <i r="3">
      <x v="5"/>
    </i>
    <i r="4">
      <x v="1"/>
    </i>
    <i r="5">
      <x v="1"/>
    </i>
    <i>
      <x v="12"/>
    </i>
    <i r="1">
      <x/>
    </i>
    <i r="2">
      <x v="3"/>
    </i>
    <i r="3">
      <x v="2"/>
    </i>
    <i r="4">
      <x/>
    </i>
    <i r="5">
      <x v="19"/>
    </i>
    <i>
      <x v="13"/>
    </i>
    <i r="1">
      <x v="1"/>
    </i>
    <i r="2">
      <x v="5"/>
    </i>
    <i r="3">
      <x v="4"/>
    </i>
    <i r="4">
      <x v="1"/>
    </i>
    <i r="5">
      <x v="20"/>
    </i>
    <i>
      <x v="14"/>
    </i>
    <i r="1">
      <x/>
    </i>
    <i r="2">
      <x v="1"/>
    </i>
    <i r="3">
      <x v="5"/>
    </i>
    <i r="4">
      <x v="1"/>
    </i>
    <i r="5">
      <x v="21"/>
    </i>
    <i>
      <x v="15"/>
    </i>
    <i r="1">
      <x v="1"/>
    </i>
    <i r="2">
      <x v="4"/>
    </i>
    <i r="3">
      <x v="7"/>
    </i>
    <i r="4">
      <x v="2"/>
    </i>
    <i r="5">
      <x v="22"/>
    </i>
    <i>
      <x v="16"/>
    </i>
    <i r="1">
      <x/>
    </i>
    <i r="2">
      <x v="2"/>
    </i>
    <i r="3">
      <x v="1"/>
    </i>
    <i r="4">
      <x v="2"/>
    </i>
    <i r="5">
      <x v="23"/>
    </i>
    <i>
      <x v="17"/>
    </i>
    <i r="1">
      <x v="1"/>
    </i>
    <i r="2">
      <x/>
    </i>
    <i r="3">
      <x v="9"/>
    </i>
    <i r="4">
      <x v="1"/>
    </i>
    <i r="5">
      <x v="24"/>
    </i>
    <i>
      <x v="18"/>
    </i>
    <i r="1">
      <x/>
    </i>
    <i r="2">
      <x v="3"/>
    </i>
    <i r="3">
      <x v="8"/>
    </i>
    <i r="4">
      <x v="1"/>
    </i>
    <i r="5">
      <x v="25"/>
    </i>
    <i>
      <x v="19"/>
    </i>
    <i r="1">
      <x v="1"/>
    </i>
    <i r="2">
      <x v="5"/>
    </i>
    <i r="3">
      <x/>
    </i>
    <i r="4">
      <x v="2"/>
    </i>
    <i r="5">
      <x v="26"/>
    </i>
    <i>
      <x v="20"/>
    </i>
    <i r="1">
      <x/>
    </i>
    <i r="2">
      <x v="1"/>
    </i>
    <i r="3">
      <x v="3"/>
    </i>
    <i r="4">
      <x/>
    </i>
    <i r="5">
      <x v="27"/>
    </i>
    <i>
      <x v="21"/>
    </i>
    <i r="1">
      <x v="1"/>
    </i>
    <i r="2">
      <x v="4"/>
    </i>
    <i r="3">
      <x v="6"/>
    </i>
    <i r="4">
      <x/>
    </i>
    <i r="5">
      <x/>
    </i>
    <i>
      <x v="22"/>
    </i>
    <i r="1">
      <x v="1"/>
    </i>
    <i r="2">
      <x v="5"/>
    </i>
    <i r="3">
      <x v="7"/>
    </i>
    <i r="4">
      <x v="2"/>
    </i>
    <i r="5">
      <x v="2"/>
    </i>
    <i>
      <x v="23"/>
    </i>
    <i r="1">
      <x/>
    </i>
    <i r="2">
      <x v="2"/>
    </i>
    <i r="3">
      <x v="2"/>
    </i>
    <i r="4">
      <x/>
    </i>
    <i r="5">
      <x v="1"/>
    </i>
    <i>
      <x v="24"/>
    </i>
    <i r="1">
      <x v="1"/>
    </i>
    <i r="2">
      <x/>
    </i>
    <i r="3">
      <x v="4"/>
    </i>
    <i r="4">
      <x v="1"/>
    </i>
    <i r="5">
      <x v="2"/>
    </i>
    <i>
      <x v="25"/>
    </i>
    <i r="1">
      <x/>
    </i>
    <i r="2">
      <x v="3"/>
    </i>
    <i r="3">
      <x v="5"/>
    </i>
    <i r="4">
      <x v="1"/>
    </i>
    <i r="5">
      <x v="3"/>
    </i>
    <i>
      <x v="26"/>
    </i>
    <i r="1">
      <x v="1"/>
    </i>
    <i r="2">
      <x v="5"/>
    </i>
    <i r="3">
      <x v="7"/>
    </i>
    <i r="4">
      <x v="2"/>
    </i>
    <i r="5">
      <x v="4"/>
    </i>
    <i>
      <x v="27"/>
    </i>
    <i r="1">
      <x/>
    </i>
    <i r="2">
      <x v="1"/>
    </i>
    <i r="3">
      <x v="1"/>
    </i>
    <i r="4">
      <x v="2"/>
    </i>
    <i r="5">
      <x v="5"/>
    </i>
    <i>
      <x v="28"/>
    </i>
    <i r="1">
      <x v="1"/>
    </i>
    <i r="2">
      <x v="4"/>
    </i>
    <i r="3">
      <x v="9"/>
    </i>
    <i r="4">
      <x v="1"/>
    </i>
    <i r="5">
      <x v="6"/>
    </i>
    <i>
      <x v="29"/>
    </i>
    <i r="1">
      <x/>
    </i>
    <i r="2">
      <x v="2"/>
    </i>
    <i r="3">
      <x v="8"/>
    </i>
    <i r="4">
      <x v="1"/>
    </i>
    <i r="5">
      <x v="7"/>
    </i>
    <i>
      <x v="30"/>
    </i>
    <i r="1">
      <x v="1"/>
    </i>
    <i r="2">
      <x/>
    </i>
    <i r="3">
      <x/>
    </i>
    <i r="4">
      <x v="2"/>
    </i>
    <i r="5">
      <x v="8"/>
    </i>
    <i>
      <x v="31"/>
    </i>
    <i r="1">
      <x/>
    </i>
    <i r="2">
      <x v="3"/>
    </i>
    <i r="3">
      <x v="3"/>
    </i>
    <i r="4">
      <x/>
    </i>
    <i r="5">
      <x v="9"/>
    </i>
    <i>
      <x v="32"/>
    </i>
    <i r="1">
      <x v="1"/>
    </i>
    <i r="2">
      <x v="5"/>
    </i>
    <i r="3">
      <x v="6"/>
    </i>
    <i r="4">
      <x/>
    </i>
    <i r="5">
      <x v="10"/>
    </i>
    <i>
      <x v="33"/>
    </i>
    <i r="1">
      <x/>
    </i>
    <i r="2">
      <x v="1"/>
    </i>
    <i r="3">
      <x v="1"/>
    </i>
    <i r="4">
      <x v="2"/>
    </i>
    <i r="5">
      <x v="3"/>
    </i>
    <i>
      <x v="34"/>
    </i>
    <i r="1">
      <x/>
    </i>
    <i r="2">
      <x v="1"/>
    </i>
    <i r="3">
      <x v="2"/>
    </i>
    <i r="4">
      <x/>
    </i>
    <i r="5">
      <x v="11"/>
    </i>
    <i>
      <x v="35"/>
    </i>
    <i r="1">
      <x v="1"/>
    </i>
    <i r="2">
      <x v="4"/>
    </i>
    <i r="3">
      <x v="4"/>
    </i>
    <i r="4">
      <x v="1"/>
    </i>
    <i r="5">
      <x v="12"/>
    </i>
    <i>
      <x v="36"/>
    </i>
    <i r="1">
      <x/>
    </i>
    <i r="2">
      <x v="2"/>
    </i>
    <i r="3">
      <x v="5"/>
    </i>
    <i r="4">
      <x v="1"/>
    </i>
    <i r="5">
      <x v="13"/>
    </i>
    <i>
      <x v="37"/>
    </i>
    <i r="1">
      <x v="1"/>
    </i>
    <i r="2">
      <x/>
    </i>
    <i r="3">
      <x v="7"/>
    </i>
    <i r="4">
      <x v="2"/>
    </i>
    <i r="5">
      <x v="14"/>
    </i>
    <i>
      <x v="38"/>
    </i>
    <i r="1">
      <x/>
    </i>
    <i r="2">
      <x v="3"/>
    </i>
    <i r="3">
      <x v="1"/>
    </i>
    <i r="4">
      <x v="2"/>
    </i>
    <i r="5">
      <x v="15"/>
    </i>
    <i>
      <x v="39"/>
    </i>
    <i r="1">
      <x v="1"/>
    </i>
    <i r="2">
      <x v="5"/>
    </i>
    <i r="3">
      <x v="9"/>
    </i>
    <i r="4">
      <x v="1"/>
    </i>
    <i r="5">
      <x v="16"/>
    </i>
    <i>
      <x v="40"/>
    </i>
    <i r="1">
      <x/>
    </i>
    <i r="2">
      <x v="1"/>
    </i>
    <i r="3">
      <x v="8"/>
    </i>
    <i r="4">
      <x v="1"/>
    </i>
    <i r="5">
      <x v="17"/>
    </i>
    <i>
      <x v="41"/>
    </i>
    <i r="1">
      <x v="1"/>
    </i>
    <i r="2">
      <x v="4"/>
    </i>
    <i r="3">
      <x/>
    </i>
    <i r="4">
      <x v="2"/>
    </i>
    <i r="5">
      <x v="18"/>
    </i>
    <i>
      <x v="42"/>
    </i>
    <i r="1">
      <x/>
    </i>
    <i r="2">
      <x v="2"/>
    </i>
    <i r="3">
      <x v="3"/>
    </i>
    <i r="4">
      <x/>
    </i>
    <i r="5">
      <x v="19"/>
    </i>
    <i>
      <x v="43"/>
    </i>
    <i r="1">
      <x v="1"/>
    </i>
    <i r="2">
      <x/>
    </i>
    <i r="3">
      <x v="6"/>
    </i>
    <i r="4">
      <x/>
    </i>
    <i r="5">
      <x v="20"/>
    </i>
    <i>
      <x v="44"/>
    </i>
    <i r="1">
      <x v="1"/>
    </i>
    <i r="2">
      <x v="4"/>
    </i>
    <i r="3">
      <x v="9"/>
    </i>
    <i r="4">
      <x v="1"/>
    </i>
    <i r="5">
      <x v="4"/>
    </i>
    <i>
      <x v="45"/>
    </i>
    <i r="1">
      <x/>
    </i>
    <i r="2">
      <x v="3"/>
    </i>
    <i r="3">
      <x v="2"/>
    </i>
    <i r="4">
      <x/>
    </i>
    <i r="5">
      <x v="21"/>
    </i>
    <i>
      <x v="46"/>
    </i>
    <i r="1">
      <x/>
    </i>
    <i r="2">
      <x v="2"/>
    </i>
    <i r="3">
      <x v="8"/>
    </i>
    <i r="4">
      <x v="1"/>
    </i>
    <i r="5">
      <x v="5"/>
    </i>
    <i>
      <x v="47"/>
    </i>
    <i r="1">
      <x v="1"/>
    </i>
    <i r="2">
      <x/>
    </i>
    <i r="3">
      <x/>
    </i>
    <i r="4">
      <x v="2"/>
    </i>
    <i r="5">
      <x v="6"/>
    </i>
    <i>
      <x v="48"/>
    </i>
    <i r="1">
      <x/>
    </i>
    <i r="2">
      <x v="3"/>
    </i>
    <i r="3">
      <x v="3"/>
    </i>
    <i r="4">
      <x/>
    </i>
    <i r="5">
      <x v="7"/>
    </i>
    <i>
      <x v="49"/>
    </i>
    <i r="1">
      <x v="1"/>
    </i>
    <i r="2">
      <x v="5"/>
    </i>
    <i r="3">
      <x v="6"/>
    </i>
    <i r="4">
      <x/>
    </i>
    <i r="5"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ustomer_ID" fld="0" baseField="0" baseItem="0"/>
    <dataField name="Sum of Age" fld="3" baseField="0" baseItem="0"/>
    <dataField name="Sum of Quantity" fld="7" baseField="0" baseItem="0"/>
    <dataField name="Sum of Unit_Price" fld="8" baseField="0" baseItem="0"/>
    <dataField name="Sum of Total_Sales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BE6A-75C1-499F-9345-64A132FCB0ED}">
  <dimension ref="A2:I70"/>
  <sheetViews>
    <sheetView tabSelected="1" workbookViewId="0">
      <selection activeCell="D16" sqref="D16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4" width="15.42578125" bestFit="1" customWidth="1"/>
    <col min="5" max="5" width="13.140625" bestFit="1" customWidth="1"/>
    <col min="6" max="7" width="17.85546875" bestFit="1" customWidth="1"/>
    <col min="8" max="8" width="13.140625" bestFit="1" customWidth="1"/>
    <col min="9" max="9" width="15.42578125" bestFit="1" customWidth="1"/>
  </cols>
  <sheetData>
    <row r="2" spans="1:9" ht="15.75" x14ac:dyDescent="0.25">
      <c r="E2" s="7" t="s">
        <v>122</v>
      </c>
      <c r="F2" s="3"/>
      <c r="H2" s="7" t="s">
        <v>120</v>
      </c>
      <c r="I2" s="3"/>
    </row>
    <row r="3" spans="1:9" x14ac:dyDescent="0.25">
      <c r="A3" s="5" t="s">
        <v>123</v>
      </c>
      <c r="B3" t="s">
        <v>125</v>
      </c>
      <c r="C3" t="s">
        <v>126</v>
      </c>
      <c r="E3" s="5" t="s">
        <v>123</v>
      </c>
      <c r="F3" t="s">
        <v>128</v>
      </c>
      <c r="H3" s="5" t="s">
        <v>123</v>
      </c>
      <c r="I3" t="s">
        <v>125</v>
      </c>
    </row>
    <row r="4" spans="1:9" x14ac:dyDescent="0.25">
      <c r="A4" s="4">
        <v>120000</v>
      </c>
      <c r="B4">
        <v>50</v>
      </c>
      <c r="C4">
        <v>60000</v>
      </c>
      <c r="E4" s="4" t="s">
        <v>14</v>
      </c>
      <c r="F4" s="13">
        <v>3060000</v>
      </c>
      <c r="H4" s="4" t="s">
        <v>54</v>
      </c>
      <c r="I4" s="13">
        <v>50</v>
      </c>
    </row>
    <row r="5" spans="1:9" x14ac:dyDescent="0.25">
      <c r="A5" s="4">
        <v>135000</v>
      </c>
      <c r="B5">
        <v>45</v>
      </c>
      <c r="C5">
        <v>75000</v>
      </c>
      <c r="E5" s="4" t="s">
        <v>36</v>
      </c>
      <c r="F5" s="13">
        <v>2965000</v>
      </c>
      <c r="H5" s="4" t="s">
        <v>51</v>
      </c>
      <c r="I5" s="13">
        <v>45</v>
      </c>
    </row>
    <row r="6" spans="1:9" x14ac:dyDescent="0.25">
      <c r="A6" s="4">
        <v>200000</v>
      </c>
      <c r="B6">
        <v>40</v>
      </c>
      <c r="C6">
        <v>125000</v>
      </c>
      <c r="E6" s="4" t="s">
        <v>26</v>
      </c>
      <c r="F6" s="13">
        <v>2625000</v>
      </c>
      <c r="H6" s="4" t="s">
        <v>47</v>
      </c>
      <c r="I6" s="13">
        <v>40</v>
      </c>
    </row>
    <row r="7" spans="1:9" x14ac:dyDescent="0.25">
      <c r="A7" s="4">
        <v>340000</v>
      </c>
      <c r="B7">
        <v>20</v>
      </c>
      <c r="C7">
        <v>425000</v>
      </c>
      <c r="E7" s="4" t="s">
        <v>21</v>
      </c>
      <c r="F7" s="13">
        <v>2430000</v>
      </c>
      <c r="H7" s="4" t="s">
        <v>44</v>
      </c>
      <c r="I7" s="13">
        <v>35</v>
      </c>
    </row>
    <row r="8" spans="1:9" x14ac:dyDescent="0.25">
      <c r="A8" s="4">
        <v>360000</v>
      </c>
      <c r="B8">
        <v>25</v>
      </c>
      <c r="C8">
        <v>1500000</v>
      </c>
      <c r="E8" s="4" t="s">
        <v>40</v>
      </c>
      <c r="F8" s="13">
        <v>2360000</v>
      </c>
      <c r="H8" s="4" t="s">
        <v>41</v>
      </c>
      <c r="I8" s="13">
        <v>30</v>
      </c>
    </row>
    <row r="9" spans="1:9" x14ac:dyDescent="0.25">
      <c r="A9" s="4">
        <v>385000</v>
      </c>
      <c r="B9">
        <v>35</v>
      </c>
      <c r="C9">
        <v>275000</v>
      </c>
      <c r="E9" s="4" t="s">
        <v>32</v>
      </c>
      <c r="F9" s="13">
        <v>2260000</v>
      </c>
      <c r="H9" s="4" t="s">
        <v>37</v>
      </c>
      <c r="I9" s="13">
        <v>25</v>
      </c>
    </row>
    <row r="10" spans="1:9" x14ac:dyDescent="0.25">
      <c r="A10" s="4">
        <v>390000</v>
      </c>
      <c r="B10">
        <v>30</v>
      </c>
      <c r="C10">
        <v>325000</v>
      </c>
      <c r="E10" s="4" t="s">
        <v>124</v>
      </c>
      <c r="F10" s="13">
        <v>15700000</v>
      </c>
      <c r="H10" s="4" t="s">
        <v>33</v>
      </c>
      <c r="I10" s="13">
        <v>20</v>
      </c>
    </row>
    <row r="11" spans="1:9" x14ac:dyDescent="0.25">
      <c r="A11" s="4">
        <v>400000</v>
      </c>
      <c r="B11">
        <v>25</v>
      </c>
      <c r="C11">
        <v>400000</v>
      </c>
      <c r="H11" s="4" t="s">
        <v>27</v>
      </c>
      <c r="I11" s="13">
        <v>15</v>
      </c>
    </row>
    <row r="12" spans="1:9" x14ac:dyDescent="0.25">
      <c r="A12" s="4">
        <v>450000</v>
      </c>
      <c r="B12">
        <v>5</v>
      </c>
      <c r="C12">
        <v>2250000</v>
      </c>
      <c r="H12" s="4" t="s">
        <v>22</v>
      </c>
      <c r="I12" s="13">
        <v>10</v>
      </c>
    </row>
    <row r="13" spans="1:9" ht="15.75" x14ac:dyDescent="0.25">
      <c r="A13" s="4" t="s">
        <v>124</v>
      </c>
      <c r="B13">
        <v>275</v>
      </c>
      <c r="C13">
        <v>5435000</v>
      </c>
      <c r="E13" s="7" t="s">
        <v>118</v>
      </c>
      <c r="F13" s="3"/>
      <c r="H13" s="4" t="s">
        <v>15</v>
      </c>
      <c r="I13" s="13">
        <v>5</v>
      </c>
    </row>
    <row r="14" spans="1:9" x14ac:dyDescent="0.25">
      <c r="E14" s="5" t="s">
        <v>123</v>
      </c>
      <c r="F14" t="s">
        <v>128</v>
      </c>
      <c r="H14" s="4" t="s">
        <v>124</v>
      </c>
      <c r="I14" s="13">
        <v>275</v>
      </c>
    </row>
    <row r="15" spans="1:9" ht="15.75" x14ac:dyDescent="0.25">
      <c r="A15" s="7" t="s">
        <v>121</v>
      </c>
      <c r="B15" s="3"/>
      <c r="E15" s="4" t="s">
        <v>93</v>
      </c>
      <c r="F15" s="13">
        <v>120000</v>
      </c>
    </row>
    <row r="16" spans="1:9" x14ac:dyDescent="0.25">
      <c r="A16" s="5" t="s">
        <v>123</v>
      </c>
      <c r="B16" t="s">
        <v>128</v>
      </c>
      <c r="E16" s="4" t="s">
        <v>74</v>
      </c>
      <c r="F16" s="13">
        <v>120000</v>
      </c>
    </row>
    <row r="17" spans="1:9" x14ac:dyDescent="0.25">
      <c r="A17" s="4" t="s">
        <v>16</v>
      </c>
      <c r="B17" s="13">
        <v>8000000</v>
      </c>
      <c r="E17" s="4" t="s">
        <v>53</v>
      </c>
      <c r="F17" s="13">
        <v>120000</v>
      </c>
    </row>
    <row r="18" spans="1:9" ht="15.75" x14ac:dyDescent="0.25">
      <c r="A18" s="4" t="s">
        <v>28</v>
      </c>
      <c r="B18" s="13">
        <v>5425000</v>
      </c>
      <c r="E18" s="4" t="s">
        <v>113</v>
      </c>
      <c r="F18" s="13">
        <v>120000</v>
      </c>
      <c r="H18" s="7" t="s">
        <v>116</v>
      </c>
      <c r="I18" s="7"/>
    </row>
    <row r="19" spans="1:9" x14ac:dyDescent="0.25">
      <c r="A19" s="4" t="s">
        <v>48</v>
      </c>
      <c r="B19" s="13">
        <v>2275000</v>
      </c>
      <c r="E19" s="4" t="s">
        <v>103</v>
      </c>
      <c r="F19" s="13">
        <v>120000</v>
      </c>
      <c r="H19" s="5" t="s">
        <v>123</v>
      </c>
      <c r="I19" t="s">
        <v>128</v>
      </c>
    </row>
    <row r="20" spans="1:9" x14ac:dyDescent="0.25">
      <c r="A20" s="4" t="s">
        <v>124</v>
      </c>
      <c r="B20" s="13">
        <v>15700000</v>
      </c>
      <c r="E20" s="4" t="s">
        <v>50</v>
      </c>
      <c r="F20" s="13">
        <v>135000</v>
      </c>
      <c r="H20" s="4" t="s">
        <v>76</v>
      </c>
      <c r="I20" s="13">
        <v>450000</v>
      </c>
    </row>
    <row r="21" spans="1:9" x14ac:dyDescent="0.25">
      <c r="E21" s="4" t="s">
        <v>92</v>
      </c>
      <c r="F21" s="13">
        <v>135000</v>
      </c>
      <c r="H21" s="4" t="s">
        <v>12</v>
      </c>
      <c r="I21" s="13">
        <v>450000</v>
      </c>
    </row>
    <row r="22" spans="1:9" x14ac:dyDescent="0.25">
      <c r="E22" s="4" t="s">
        <v>102</v>
      </c>
      <c r="F22" s="13">
        <v>135000</v>
      </c>
      <c r="H22" s="4" t="s">
        <v>56</v>
      </c>
      <c r="I22" s="13">
        <v>450000</v>
      </c>
    </row>
    <row r="23" spans="1:9" x14ac:dyDescent="0.25">
      <c r="E23" s="4" t="s">
        <v>112</v>
      </c>
      <c r="F23" s="13">
        <v>135000</v>
      </c>
      <c r="H23" s="4" t="s">
        <v>104</v>
      </c>
      <c r="I23" s="13">
        <v>450000</v>
      </c>
    </row>
    <row r="24" spans="1:9" x14ac:dyDescent="0.25">
      <c r="A24" t="s">
        <v>130</v>
      </c>
      <c r="C24" s="8"/>
      <c r="E24" s="4" t="s">
        <v>72</v>
      </c>
      <c r="F24" s="13">
        <v>135000</v>
      </c>
      <c r="H24" s="4" t="s">
        <v>94</v>
      </c>
      <c r="I24" s="13">
        <v>450000</v>
      </c>
    </row>
    <row r="25" spans="1:9" x14ac:dyDescent="0.25">
      <c r="A25">
        <v>30.5</v>
      </c>
      <c r="E25" s="4" t="s">
        <v>101</v>
      </c>
      <c r="F25" s="13">
        <v>200000</v>
      </c>
      <c r="H25" s="4" t="s">
        <v>84</v>
      </c>
      <c r="I25" s="13">
        <v>400000</v>
      </c>
    </row>
    <row r="26" spans="1:9" x14ac:dyDescent="0.25">
      <c r="E26" s="4" t="s">
        <v>46</v>
      </c>
      <c r="F26" s="13">
        <v>200000</v>
      </c>
      <c r="H26" s="4" t="s">
        <v>64</v>
      </c>
      <c r="I26" s="13">
        <v>400000</v>
      </c>
    </row>
    <row r="27" spans="1:9" x14ac:dyDescent="0.25">
      <c r="E27" s="4" t="s">
        <v>90</v>
      </c>
      <c r="F27" s="13">
        <v>200000</v>
      </c>
      <c r="H27" s="4" t="s">
        <v>35</v>
      </c>
      <c r="I27" s="13">
        <v>400000</v>
      </c>
    </row>
    <row r="28" spans="1:9" x14ac:dyDescent="0.25">
      <c r="E28" s="4" t="s">
        <v>70</v>
      </c>
      <c r="F28" s="13">
        <v>200000</v>
      </c>
      <c r="H28" s="4" t="s">
        <v>108</v>
      </c>
      <c r="I28" s="13">
        <v>400000</v>
      </c>
    </row>
    <row r="29" spans="1:9" x14ac:dyDescent="0.25">
      <c r="E29" s="4" t="s">
        <v>111</v>
      </c>
      <c r="F29" s="13">
        <v>200000</v>
      </c>
      <c r="H29" s="4" t="s">
        <v>98</v>
      </c>
      <c r="I29" s="13">
        <v>400000</v>
      </c>
    </row>
    <row r="30" spans="1:9" x14ac:dyDescent="0.25">
      <c r="E30" s="4" t="s">
        <v>97</v>
      </c>
      <c r="F30" s="13">
        <v>340000</v>
      </c>
      <c r="H30" s="4" t="s">
        <v>86</v>
      </c>
      <c r="I30" s="13">
        <v>390000</v>
      </c>
    </row>
    <row r="31" spans="1:9" x14ac:dyDescent="0.25">
      <c r="E31" s="4" t="s">
        <v>31</v>
      </c>
      <c r="F31" s="13">
        <v>340000</v>
      </c>
      <c r="H31" s="4" t="s">
        <v>99</v>
      </c>
      <c r="I31" s="13">
        <v>390000</v>
      </c>
    </row>
    <row r="32" spans="1:9" x14ac:dyDescent="0.25">
      <c r="E32" s="4" t="s">
        <v>82</v>
      </c>
      <c r="F32" s="13">
        <v>340000</v>
      </c>
      <c r="H32" s="4" t="s">
        <v>66</v>
      </c>
      <c r="I32" s="13">
        <v>390000</v>
      </c>
    </row>
    <row r="33" spans="5:9" x14ac:dyDescent="0.25">
      <c r="E33" s="4" t="s">
        <v>107</v>
      </c>
      <c r="F33" s="13">
        <v>340000</v>
      </c>
      <c r="H33" s="4" t="s">
        <v>109</v>
      </c>
      <c r="I33" s="13">
        <v>390000</v>
      </c>
    </row>
    <row r="34" spans="5:9" x14ac:dyDescent="0.25">
      <c r="E34" s="4" t="s">
        <v>62</v>
      </c>
      <c r="F34" s="13">
        <v>340000</v>
      </c>
      <c r="H34" s="4" t="s">
        <v>39</v>
      </c>
      <c r="I34" s="13">
        <v>390000</v>
      </c>
    </row>
    <row r="35" spans="5:9" x14ac:dyDescent="0.25">
      <c r="E35" s="4" t="s">
        <v>95</v>
      </c>
      <c r="F35" s="13">
        <v>360000</v>
      </c>
      <c r="H35" s="4" t="s">
        <v>110</v>
      </c>
      <c r="I35" s="13">
        <v>385000</v>
      </c>
    </row>
    <row r="36" spans="5:9" x14ac:dyDescent="0.25">
      <c r="E36" s="4" t="s">
        <v>105</v>
      </c>
      <c r="F36" s="13">
        <v>360000</v>
      </c>
      <c r="H36" s="4" t="s">
        <v>100</v>
      </c>
      <c r="I36" s="13">
        <v>385000</v>
      </c>
    </row>
    <row r="37" spans="5:9" x14ac:dyDescent="0.25">
      <c r="E37" s="4" t="s">
        <v>106</v>
      </c>
      <c r="F37" s="13">
        <v>360000</v>
      </c>
      <c r="H37" s="4" t="s">
        <v>43</v>
      </c>
      <c r="I37" s="13">
        <v>385000</v>
      </c>
    </row>
    <row r="38" spans="5:9" x14ac:dyDescent="0.25">
      <c r="E38" s="4" t="s">
        <v>19</v>
      </c>
      <c r="F38" s="13">
        <v>360000</v>
      </c>
      <c r="H38" s="4" t="s">
        <v>68</v>
      </c>
      <c r="I38" s="13">
        <v>385000</v>
      </c>
    </row>
    <row r="39" spans="5:9" x14ac:dyDescent="0.25">
      <c r="E39" s="4" t="s">
        <v>96</v>
      </c>
      <c r="F39" s="13">
        <v>360000</v>
      </c>
      <c r="H39" s="4" t="s">
        <v>88</v>
      </c>
      <c r="I39" s="13">
        <v>385000</v>
      </c>
    </row>
    <row r="40" spans="5:9" x14ac:dyDescent="0.25">
      <c r="E40" s="4" t="s">
        <v>25</v>
      </c>
      <c r="F40" s="13">
        <v>360000</v>
      </c>
      <c r="H40" s="4" t="s">
        <v>58</v>
      </c>
      <c r="I40" s="13">
        <v>360000</v>
      </c>
    </row>
    <row r="41" spans="5:9" x14ac:dyDescent="0.25">
      <c r="E41" s="4" t="s">
        <v>80</v>
      </c>
      <c r="F41" s="13">
        <v>360000</v>
      </c>
      <c r="H41" s="4" t="s">
        <v>106</v>
      </c>
      <c r="I41" s="13">
        <v>360000</v>
      </c>
    </row>
    <row r="42" spans="5:9" x14ac:dyDescent="0.25">
      <c r="E42" s="4" t="s">
        <v>58</v>
      </c>
      <c r="F42" s="13">
        <v>360000</v>
      </c>
      <c r="H42" s="4" t="s">
        <v>78</v>
      </c>
      <c r="I42" s="13">
        <v>360000</v>
      </c>
    </row>
    <row r="43" spans="5:9" x14ac:dyDescent="0.25">
      <c r="E43" s="4" t="s">
        <v>60</v>
      </c>
      <c r="F43" s="13">
        <v>360000</v>
      </c>
      <c r="H43" s="4" t="s">
        <v>25</v>
      </c>
      <c r="I43" s="13">
        <v>360000</v>
      </c>
    </row>
    <row r="44" spans="5:9" x14ac:dyDescent="0.25">
      <c r="E44" s="4" t="s">
        <v>78</v>
      </c>
      <c r="F44" s="13">
        <v>360000</v>
      </c>
      <c r="H44" s="4" t="s">
        <v>60</v>
      </c>
      <c r="I44" s="13">
        <v>360000</v>
      </c>
    </row>
    <row r="45" spans="5:9" x14ac:dyDescent="0.25">
      <c r="E45" s="4" t="s">
        <v>110</v>
      </c>
      <c r="F45" s="13">
        <v>385000</v>
      </c>
      <c r="H45" s="4" t="s">
        <v>19</v>
      </c>
      <c r="I45" s="13">
        <v>360000</v>
      </c>
    </row>
    <row r="46" spans="5:9" x14ac:dyDescent="0.25">
      <c r="E46" s="4" t="s">
        <v>68</v>
      </c>
      <c r="F46" s="13">
        <v>385000</v>
      </c>
      <c r="H46" s="4" t="s">
        <v>80</v>
      </c>
      <c r="I46" s="13">
        <v>360000</v>
      </c>
    </row>
    <row r="47" spans="5:9" x14ac:dyDescent="0.25">
      <c r="E47" s="4" t="s">
        <v>100</v>
      </c>
      <c r="F47" s="13">
        <v>385000</v>
      </c>
      <c r="H47" s="4" t="s">
        <v>105</v>
      </c>
      <c r="I47" s="13">
        <v>360000</v>
      </c>
    </row>
    <row r="48" spans="5:9" x14ac:dyDescent="0.25">
      <c r="E48" s="4" t="s">
        <v>88</v>
      </c>
      <c r="F48" s="13">
        <v>385000</v>
      </c>
      <c r="H48" s="4" t="s">
        <v>96</v>
      </c>
      <c r="I48" s="13">
        <v>360000</v>
      </c>
    </row>
    <row r="49" spans="5:9" x14ac:dyDescent="0.25">
      <c r="E49" s="4" t="s">
        <v>43</v>
      </c>
      <c r="F49" s="13">
        <v>385000</v>
      </c>
      <c r="H49" s="4" t="s">
        <v>95</v>
      </c>
      <c r="I49" s="13">
        <v>360000</v>
      </c>
    </row>
    <row r="50" spans="5:9" x14ac:dyDescent="0.25">
      <c r="E50" s="4" t="s">
        <v>86</v>
      </c>
      <c r="F50" s="13">
        <v>390000</v>
      </c>
      <c r="H50" s="4" t="s">
        <v>97</v>
      </c>
      <c r="I50" s="13">
        <v>340000</v>
      </c>
    </row>
    <row r="51" spans="5:9" x14ac:dyDescent="0.25">
      <c r="E51" s="4" t="s">
        <v>66</v>
      </c>
      <c r="F51" s="13">
        <v>390000</v>
      </c>
      <c r="H51" s="4" t="s">
        <v>62</v>
      </c>
      <c r="I51" s="13">
        <v>340000</v>
      </c>
    </row>
    <row r="52" spans="5:9" x14ac:dyDescent="0.25">
      <c r="E52" s="4" t="s">
        <v>99</v>
      </c>
      <c r="F52" s="13">
        <v>390000</v>
      </c>
      <c r="H52" s="4" t="s">
        <v>31</v>
      </c>
      <c r="I52" s="13">
        <v>340000</v>
      </c>
    </row>
    <row r="53" spans="5:9" x14ac:dyDescent="0.25">
      <c r="E53" s="4" t="s">
        <v>39</v>
      </c>
      <c r="F53" s="13">
        <v>390000</v>
      </c>
      <c r="H53" s="4" t="s">
        <v>82</v>
      </c>
      <c r="I53" s="13">
        <v>340000</v>
      </c>
    </row>
    <row r="54" spans="5:9" x14ac:dyDescent="0.25">
      <c r="E54" s="4" t="s">
        <v>109</v>
      </c>
      <c r="F54" s="13">
        <v>390000</v>
      </c>
      <c r="H54" s="4" t="s">
        <v>107</v>
      </c>
      <c r="I54" s="13">
        <v>340000</v>
      </c>
    </row>
    <row r="55" spans="5:9" x14ac:dyDescent="0.25">
      <c r="E55" s="4" t="s">
        <v>35</v>
      </c>
      <c r="F55" s="13">
        <v>400000</v>
      </c>
      <c r="H55" s="4" t="s">
        <v>46</v>
      </c>
      <c r="I55" s="13">
        <v>200000</v>
      </c>
    </row>
    <row r="56" spans="5:9" x14ac:dyDescent="0.25">
      <c r="E56" s="4" t="s">
        <v>84</v>
      </c>
      <c r="F56" s="13">
        <v>400000</v>
      </c>
      <c r="H56" s="4" t="s">
        <v>70</v>
      </c>
      <c r="I56" s="13">
        <v>200000</v>
      </c>
    </row>
    <row r="57" spans="5:9" x14ac:dyDescent="0.25">
      <c r="E57" s="4" t="s">
        <v>64</v>
      </c>
      <c r="F57" s="13">
        <v>400000</v>
      </c>
      <c r="H57" s="4" t="s">
        <v>101</v>
      </c>
      <c r="I57" s="13">
        <v>200000</v>
      </c>
    </row>
    <row r="58" spans="5:9" x14ac:dyDescent="0.25">
      <c r="E58" s="4" t="s">
        <v>98</v>
      </c>
      <c r="F58" s="13">
        <v>400000</v>
      </c>
      <c r="H58" s="4" t="s">
        <v>90</v>
      </c>
      <c r="I58" s="13">
        <v>200000</v>
      </c>
    </row>
    <row r="59" spans="5:9" x14ac:dyDescent="0.25">
      <c r="E59" s="4" t="s">
        <v>108</v>
      </c>
      <c r="F59" s="13">
        <v>400000</v>
      </c>
      <c r="H59" s="4" t="s">
        <v>111</v>
      </c>
      <c r="I59" s="13">
        <v>200000</v>
      </c>
    </row>
    <row r="60" spans="5:9" x14ac:dyDescent="0.25">
      <c r="E60" s="4" t="s">
        <v>94</v>
      </c>
      <c r="F60" s="13">
        <v>450000</v>
      </c>
      <c r="H60" s="4" t="s">
        <v>92</v>
      </c>
      <c r="I60" s="13">
        <v>135000</v>
      </c>
    </row>
    <row r="61" spans="5:9" x14ac:dyDescent="0.25">
      <c r="E61" s="4" t="s">
        <v>104</v>
      </c>
      <c r="F61" s="13">
        <v>450000</v>
      </c>
      <c r="H61" s="4" t="s">
        <v>102</v>
      </c>
      <c r="I61" s="13">
        <v>135000</v>
      </c>
    </row>
    <row r="62" spans="5:9" x14ac:dyDescent="0.25">
      <c r="E62" s="4" t="s">
        <v>76</v>
      </c>
      <c r="F62" s="13">
        <v>450000</v>
      </c>
      <c r="H62" s="4" t="s">
        <v>50</v>
      </c>
      <c r="I62" s="13">
        <v>135000</v>
      </c>
    </row>
    <row r="63" spans="5:9" x14ac:dyDescent="0.25">
      <c r="E63" s="4" t="s">
        <v>56</v>
      </c>
      <c r="F63" s="13">
        <v>450000</v>
      </c>
      <c r="H63" s="4" t="s">
        <v>112</v>
      </c>
      <c r="I63" s="13">
        <v>135000</v>
      </c>
    </row>
    <row r="64" spans="5:9" x14ac:dyDescent="0.25">
      <c r="E64" s="4" t="s">
        <v>12</v>
      </c>
      <c r="F64" s="13">
        <v>450000</v>
      </c>
      <c r="H64" s="4" t="s">
        <v>72</v>
      </c>
      <c r="I64" s="13">
        <v>135000</v>
      </c>
    </row>
    <row r="65" spans="5:9" x14ac:dyDescent="0.25">
      <c r="E65" s="4" t="s">
        <v>124</v>
      </c>
      <c r="F65" s="13">
        <v>15700000</v>
      </c>
      <c r="H65" s="4" t="s">
        <v>53</v>
      </c>
      <c r="I65" s="13">
        <v>120000</v>
      </c>
    </row>
    <row r="66" spans="5:9" x14ac:dyDescent="0.25">
      <c r="H66" s="4" t="s">
        <v>93</v>
      </c>
      <c r="I66" s="13">
        <v>120000</v>
      </c>
    </row>
    <row r="67" spans="5:9" x14ac:dyDescent="0.25">
      <c r="H67" s="4" t="s">
        <v>74</v>
      </c>
      <c r="I67" s="13">
        <v>120000</v>
      </c>
    </row>
    <row r="68" spans="5:9" x14ac:dyDescent="0.25">
      <c r="H68" s="4" t="s">
        <v>103</v>
      </c>
      <c r="I68" s="13">
        <v>120000</v>
      </c>
    </row>
    <row r="69" spans="5:9" x14ac:dyDescent="0.25">
      <c r="H69" s="4" t="s">
        <v>113</v>
      </c>
      <c r="I69" s="13">
        <v>120000</v>
      </c>
    </row>
    <row r="70" spans="5:9" x14ac:dyDescent="0.25">
      <c r="H70" s="4" t="s">
        <v>124</v>
      </c>
      <c r="I70" s="13">
        <v>15700000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888D-D4E6-40D5-83D3-ED4AF53F5D4B}">
  <dimension ref="A1:F302"/>
  <sheetViews>
    <sheetView workbookViewId="0">
      <selection activeCell="K22" sqref="K22"/>
    </sheetView>
  </sheetViews>
  <sheetFormatPr defaultRowHeight="15" x14ac:dyDescent="0.25"/>
  <cols>
    <col min="1" max="1" width="22.140625" bestFit="1" customWidth="1"/>
    <col min="2" max="2" width="19.28515625" bestFit="1" customWidth="1"/>
    <col min="3" max="3" width="11" bestFit="1" customWidth="1"/>
    <col min="4" max="4" width="15.42578125" bestFit="1" customWidth="1"/>
    <col min="5" max="5" width="17" bestFit="1" customWidth="1"/>
    <col min="6" max="6" width="17.85546875" bestFit="1" customWidth="1"/>
  </cols>
  <sheetData>
    <row r="1" spans="1:6" x14ac:dyDescent="0.25">
      <c r="A1" s="5" t="s">
        <v>123</v>
      </c>
      <c r="B1" t="s">
        <v>127</v>
      </c>
      <c r="C1" t="s">
        <v>129</v>
      </c>
      <c r="D1" t="s">
        <v>125</v>
      </c>
      <c r="E1" t="s">
        <v>126</v>
      </c>
      <c r="F1" t="s">
        <v>128</v>
      </c>
    </row>
    <row r="2" spans="1:6" x14ac:dyDescent="0.25">
      <c r="A2" s="4" t="s">
        <v>12</v>
      </c>
      <c r="B2">
        <v>1001</v>
      </c>
      <c r="C2">
        <v>22</v>
      </c>
      <c r="D2">
        <v>1</v>
      </c>
      <c r="E2">
        <v>450000</v>
      </c>
      <c r="F2">
        <v>450000</v>
      </c>
    </row>
    <row r="3" spans="1:6" x14ac:dyDescent="0.25">
      <c r="A3" s="6" t="s">
        <v>13</v>
      </c>
      <c r="B3">
        <v>1001</v>
      </c>
      <c r="C3">
        <v>22</v>
      </c>
      <c r="D3">
        <v>1</v>
      </c>
      <c r="E3">
        <v>450000</v>
      </c>
      <c r="F3">
        <v>450000</v>
      </c>
    </row>
    <row r="4" spans="1:6" x14ac:dyDescent="0.25">
      <c r="A4" s="9" t="s">
        <v>14</v>
      </c>
      <c r="B4">
        <v>1001</v>
      </c>
      <c r="C4">
        <v>22</v>
      </c>
      <c r="D4">
        <v>1</v>
      </c>
      <c r="E4">
        <v>450000</v>
      </c>
      <c r="F4">
        <v>450000</v>
      </c>
    </row>
    <row r="5" spans="1:6" x14ac:dyDescent="0.25">
      <c r="A5" s="10" t="s">
        <v>15</v>
      </c>
      <c r="B5">
        <v>1001</v>
      </c>
      <c r="C5">
        <v>22</v>
      </c>
      <c r="D5">
        <v>1</v>
      </c>
      <c r="E5">
        <v>450000</v>
      </c>
      <c r="F5">
        <v>450000</v>
      </c>
    </row>
    <row r="6" spans="1:6" x14ac:dyDescent="0.25">
      <c r="A6" s="11" t="s">
        <v>16</v>
      </c>
      <c r="B6">
        <v>1001</v>
      </c>
      <c r="C6">
        <v>22</v>
      </c>
      <c r="D6">
        <v>1</v>
      </c>
      <c r="E6">
        <v>450000</v>
      </c>
      <c r="F6">
        <v>450000</v>
      </c>
    </row>
    <row r="7" spans="1:6" x14ac:dyDescent="0.25">
      <c r="A7" s="12" t="s">
        <v>17</v>
      </c>
      <c r="B7">
        <v>1001</v>
      </c>
      <c r="C7">
        <v>22</v>
      </c>
      <c r="D7">
        <v>1</v>
      </c>
      <c r="E7">
        <v>450000</v>
      </c>
      <c r="F7">
        <v>450000</v>
      </c>
    </row>
    <row r="8" spans="1:6" x14ac:dyDescent="0.25">
      <c r="A8" s="4" t="s">
        <v>53</v>
      </c>
      <c r="B8">
        <v>1010</v>
      </c>
      <c r="C8">
        <v>31</v>
      </c>
      <c r="D8">
        <v>10</v>
      </c>
      <c r="E8">
        <v>12000</v>
      </c>
      <c r="F8">
        <v>120000</v>
      </c>
    </row>
    <row r="9" spans="1:6" x14ac:dyDescent="0.25">
      <c r="A9" s="6" t="s">
        <v>20</v>
      </c>
      <c r="B9">
        <v>1010</v>
      </c>
      <c r="C9">
        <v>31</v>
      </c>
      <c r="D9">
        <v>10</v>
      </c>
      <c r="E9">
        <v>12000</v>
      </c>
      <c r="F9">
        <v>120000</v>
      </c>
    </row>
    <row r="10" spans="1:6" x14ac:dyDescent="0.25">
      <c r="A10" s="9" t="s">
        <v>32</v>
      </c>
      <c r="B10">
        <v>1010</v>
      </c>
      <c r="C10">
        <v>31</v>
      </c>
      <c r="D10">
        <v>10</v>
      </c>
      <c r="E10">
        <v>12000</v>
      </c>
      <c r="F10">
        <v>120000</v>
      </c>
    </row>
    <row r="11" spans="1:6" x14ac:dyDescent="0.25">
      <c r="A11" s="10" t="s">
        <v>54</v>
      </c>
      <c r="B11">
        <v>1010</v>
      </c>
      <c r="C11">
        <v>31</v>
      </c>
      <c r="D11">
        <v>10</v>
      </c>
      <c r="E11">
        <v>12000</v>
      </c>
      <c r="F11">
        <v>120000</v>
      </c>
    </row>
    <row r="12" spans="1:6" x14ac:dyDescent="0.25">
      <c r="A12" s="11" t="s">
        <v>48</v>
      </c>
      <c r="B12">
        <v>1010</v>
      </c>
      <c r="C12">
        <v>31</v>
      </c>
      <c r="D12">
        <v>10</v>
      </c>
      <c r="E12">
        <v>12000</v>
      </c>
      <c r="F12">
        <v>120000</v>
      </c>
    </row>
    <row r="13" spans="1:6" x14ac:dyDescent="0.25">
      <c r="A13" s="12" t="s">
        <v>55</v>
      </c>
      <c r="B13">
        <v>1010</v>
      </c>
      <c r="C13">
        <v>31</v>
      </c>
      <c r="D13">
        <v>10</v>
      </c>
      <c r="E13">
        <v>12000</v>
      </c>
      <c r="F13">
        <v>120000</v>
      </c>
    </row>
    <row r="14" spans="1:6" x14ac:dyDescent="0.25">
      <c r="A14" s="4" t="s">
        <v>56</v>
      </c>
      <c r="B14">
        <v>1011</v>
      </c>
      <c r="C14">
        <v>32</v>
      </c>
      <c r="D14">
        <v>1</v>
      </c>
      <c r="E14">
        <v>450000</v>
      </c>
      <c r="F14">
        <v>450000</v>
      </c>
    </row>
    <row r="15" spans="1:6" x14ac:dyDescent="0.25">
      <c r="A15" s="6" t="s">
        <v>13</v>
      </c>
      <c r="B15">
        <v>1011</v>
      </c>
      <c r="C15">
        <v>32</v>
      </c>
      <c r="D15">
        <v>1</v>
      </c>
      <c r="E15">
        <v>450000</v>
      </c>
      <c r="F15">
        <v>450000</v>
      </c>
    </row>
    <row r="16" spans="1:6" x14ac:dyDescent="0.25">
      <c r="A16" s="9" t="s">
        <v>36</v>
      </c>
      <c r="B16">
        <v>1011</v>
      </c>
      <c r="C16">
        <v>32</v>
      </c>
      <c r="D16">
        <v>1</v>
      </c>
      <c r="E16">
        <v>450000</v>
      </c>
      <c r="F16">
        <v>450000</v>
      </c>
    </row>
    <row r="17" spans="1:6" x14ac:dyDescent="0.25">
      <c r="A17" s="10" t="s">
        <v>15</v>
      </c>
      <c r="B17">
        <v>1011</v>
      </c>
      <c r="C17">
        <v>32</v>
      </c>
      <c r="D17">
        <v>1</v>
      </c>
      <c r="E17">
        <v>450000</v>
      </c>
      <c r="F17">
        <v>450000</v>
      </c>
    </row>
    <row r="18" spans="1:6" x14ac:dyDescent="0.25">
      <c r="A18" s="11" t="s">
        <v>16</v>
      </c>
      <c r="B18">
        <v>1011</v>
      </c>
      <c r="C18">
        <v>32</v>
      </c>
      <c r="D18">
        <v>1</v>
      </c>
      <c r="E18">
        <v>450000</v>
      </c>
      <c r="F18">
        <v>450000</v>
      </c>
    </row>
    <row r="19" spans="1:6" x14ac:dyDescent="0.25">
      <c r="A19" s="12" t="s">
        <v>57</v>
      </c>
      <c r="B19">
        <v>1011</v>
      </c>
      <c r="C19">
        <v>32</v>
      </c>
      <c r="D19">
        <v>1</v>
      </c>
      <c r="E19">
        <v>450000</v>
      </c>
      <c r="F19">
        <v>450000</v>
      </c>
    </row>
    <row r="20" spans="1:6" x14ac:dyDescent="0.25">
      <c r="A20" s="4" t="s">
        <v>58</v>
      </c>
      <c r="B20">
        <v>1012</v>
      </c>
      <c r="C20">
        <v>33</v>
      </c>
      <c r="D20">
        <v>2</v>
      </c>
      <c r="E20">
        <v>180000</v>
      </c>
      <c r="F20">
        <v>360000</v>
      </c>
    </row>
    <row r="21" spans="1:6" x14ac:dyDescent="0.25">
      <c r="A21" s="6" t="s">
        <v>20</v>
      </c>
      <c r="B21">
        <v>1012</v>
      </c>
      <c r="C21">
        <v>33</v>
      </c>
      <c r="D21">
        <v>2</v>
      </c>
      <c r="E21">
        <v>180000</v>
      </c>
      <c r="F21">
        <v>360000</v>
      </c>
    </row>
    <row r="22" spans="1:6" x14ac:dyDescent="0.25">
      <c r="A22" s="9" t="s">
        <v>40</v>
      </c>
      <c r="B22">
        <v>1012</v>
      </c>
      <c r="C22">
        <v>33</v>
      </c>
      <c r="D22">
        <v>2</v>
      </c>
      <c r="E22">
        <v>180000</v>
      </c>
      <c r="F22">
        <v>360000</v>
      </c>
    </row>
    <row r="23" spans="1:6" x14ac:dyDescent="0.25">
      <c r="A23" s="10" t="s">
        <v>22</v>
      </c>
      <c r="B23">
        <v>1012</v>
      </c>
      <c r="C23">
        <v>33</v>
      </c>
      <c r="D23">
        <v>2</v>
      </c>
      <c r="E23">
        <v>180000</v>
      </c>
      <c r="F23">
        <v>360000</v>
      </c>
    </row>
    <row r="24" spans="1:6" x14ac:dyDescent="0.25">
      <c r="A24" s="11" t="s">
        <v>16</v>
      </c>
      <c r="B24">
        <v>1012</v>
      </c>
      <c r="C24">
        <v>33</v>
      </c>
      <c r="D24">
        <v>2</v>
      </c>
      <c r="E24">
        <v>180000</v>
      </c>
      <c r="F24">
        <v>360000</v>
      </c>
    </row>
    <row r="25" spans="1:6" x14ac:dyDescent="0.25">
      <c r="A25" s="12" t="s">
        <v>59</v>
      </c>
      <c r="B25">
        <v>1012</v>
      </c>
      <c r="C25">
        <v>33</v>
      </c>
      <c r="D25">
        <v>2</v>
      </c>
      <c r="E25">
        <v>180000</v>
      </c>
      <c r="F25">
        <v>360000</v>
      </c>
    </row>
    <row r="26" spans="1:6" x14ac:dyDescent="0.25">
      <c r="A26" s="4" t="s">
        <v>60</v>
      </c>
      <c r="B26">
        <v>1013</v>
      </c>
      <c r="C26">
        <v>34</v>
      </c>
      <c r="D26">
        <v>3</v>
      </c>
      <c r="E26">
        <v>120000</v>
      </c>
      <c r="F26">
        <v>360000</v>
      </c>
    </row>
    <row r="27" spans="1:6" x14ac:dyDescent="0.25">
      <c r="A27" s="6" t="s">
        <v>13</v>
      </c>
      <c r="B27">
        <v>1013</v>
      </c>
      <c r="C27">
        <v>34</v>
      </c>
      <c r="D27">
        <v>3</v>
      </c>
      <c r="E27">
        <v>120000</v>
      </c>
      <c r="F27">
        <v>360000</v>
      </c>
    </row>
    <row r="28" spans="1:6" x14ac:dyDescent="0.25">
      <c r="A28" s="9" t="s">
        <v>14</v>
      </c>
      <c r="B28">
        <v>1013</v>
      </c>
      <c r="C28">
        <v>34</v>
      </c>
      <c r="D28">
        <v>3</v>
      </c>
      <c r="E28">
        <v>120000</v>
      </c>
      <c r="F28">
        <v>360000</v>
      </c>
    </row>
    <row r="29" spans="1:6" x14ac:dyDescent="0.25">
      <c r="A29" s="10" t="s">
        <v>27</v>
      </c>
      <c r="B29">
        <v>1013</v>
      </c>
      <c r="C29">
        <v>34</v>
      </c>
      <c r="D29">
        <v>3</v>
      </c>
      <c r="E29">
        <v>120000</v>
      </c>
      <c r="F29">
        <v>360000</v>
      </c>
    </row>
    <row r="30" spans="1:6" x14ac:dyDescent="0.25">
      <c r="A30" s="11" t="s">
        <v>28</v>
      </c>
      <c r="B30">
        <v>1013</v>
      </c>
      <c r="C30">
        <v>34</v>
      </c>
      <c r="D30">
        <v>3</v>
      </c>
      <c r="E30">
        <v>120000</v>
      </c>
      <c r="F30">
        <v>360000</v>
      </c>
    </row>
    <row r="31" spans="1:6" x14ac:dyDescent="0.25">
      <c r="A31" s="12" t="s">
        <v>61</v>
      </c>
      <c r="B31">
        <v>1013</v>
      </c>
      <c r="C31">
        <v>34</v>
      </c>
      <c r="D31">
        <v>3</v>
      </c>
      <c r="E31">
        <v>120000</v>
      </c>
      <c r="F31">
        <v>360000</v>
      </c>
    </row>
    <row r="32" spans="1:6" x14ac:dyDescent="0.25">
      <c r="A32" s="4" t="s">
        <v>62</v>
      </c>
      <c r="B32">
        <v>1014</v>
      </c>
      <c r="C32">
        <v>35</v>
      </c>
      <c r="D32">
        <v>4</v>
      </c>
      <c r="E32">
        <v>85000</v>
      </c>
      <c r="F32">
        <v>340000</v>
      </c>
    </row>
    <row r="33" spans="1:6" x14ac:dyDescent="0.25">
      <c r="A33" s="6" t="s">
        <v>20</v>
      </c>
      <c r="B33">
        <v>1014</v>
      </c>
      <c r="C33">
        <v>35</v>
      </c>
      <c r="D33">
        <v>4</v>
      </c>
      <c r="E33">
        <v>85000</v>
      </c>
      <c r="F33">
        <v>340000</v>
      </c>
    </row>
    <row r="34" spans="1:6" x14ac:dyDescent="0.25">
      <c r="A34" s="9" t="s">
        <v>21</v>
      </c>
      <c r="B34">
        <v>1014</v>
      </c>
      <c r="C34">
        <v>35</v>
      </c>
      <c r="D34">
        <v>4</v>
      </c>
      <c r="E34">
        <v>85000</v>
      </c>
      <c r="F34">
        <v>340000</v>
      </c>
    </row>
    <row r="35" spans="1:6" x14ac:dyDescent="0.25">
      <c r="A35" s="10" t="s">
        <v>33</v>
      </c>
      <c r="B35">
        <v>1014</v>
      </c>
      <c r="C35">
        <v>35</v>
      </c>
      <c r="D35">
        <v>4</v>
      </c>
      <c r="E35">
        <v>85000</v>
      </c>
      <c r="F35">
        <v>340000</v>
      </c>
    </row>
    <row r="36" spans="1:6" x14ac:dyDescent="0.25">
      <c r="A36" s="11" t="s">
        <v>28</v>
      </c>
      <c r="B36">
        <v>1014</v>
      </c>
      <c r="C36">
        <v>35</v>
      </c>
      <c r="D36">
        <v>4</v>
      </c>
      <c r="E36">
        <v>85000</v>
      </c>
      <c r="F36">
        <v>340000</v>
      </c>
    </row>
    <row r="37" spans="1:6" x14ac:dyDescent="0.25">
      <c r="A37" s="12" t="s">
        <v>63</v>
      </c>
      <c r="B37">
        <v>1014</v>
      </c>
      <c r="C37">
        <v>35</v>
      </c>
      <c r="D37">
        <v>4</v>
      </c>
      <c r="E37">
        <v>85000</v>
      </c>
      <c r="F37">
        <v>340000</v>
      </c>
    </row>
    <row r="38" spans="1:6" x14ac:dyDescent="0.25">
      <c r="A38" s="4" t="s">
        <v>64</v>
      </c>
      <c r="B38">
        <v>1015</v>
      </c>
      <c r="C38">
        <v>36</v>
      </c>
      <c r="D38">
        <v>5</v>
      </c>
      <c r="E38">
        <v>80000</v>
      </c>
      <c r="F38">
        <v>400000</v>
      </c>
    </row>
    <row r="39" spans="1:6" x14ac:dyDescent="0.25">
      <c r="A39" s="6" t="s">
        <v>13</v>
      </c>
      <c r="B39">
        <v>1015</v>
      </c>
      <c r="C39">
        <v>36</v>
      </c>
      <c r="D39">
        <v>5</v>
      </c>
      <c r="E39">
        <v>80000</v>
      </c>
      <c r="F39">
        <v>400000</v>
      </c>
    </row>
    <row r="40" spans="1:6" x14ac:dyDescent="0.25">
      <c r="A40" s="9" t="s">
        <v>26</v>
      </c>
      <c r="B40">
        <v>1015</v>
      </c>
      <c r="C40">
        <v>36</v>
      </c>
      <c r="D40">
        <v>5</v>
      </c>
      <c r="E40">
        <v>80000</v>
      </c>
      <c r="F40">
        <v>400000</v>
      </c>
    </row>
    <row r="41" spans="1:6" x14ac:dyDescent="0.25">
      <c r="A41" s="10" t="s">
        <v>37</v>
      </c>
      <c r="B41">
        <v>1015</v>
      </c>
      <c r="C41">
        <v>36</v>
      </c>
      <c r="D41">
        <v>5</v>
      </c>
      <c r="E41">
        <v>80000</v>
      </c>
      <c r="F41">
        <v>400000</v>
      </c>
    </row>
    <row r="42" spans="1:6" x14ac:dyDescent="0.25">
      <c r="A42" s="11" t="s">
        <v>16</v>
      </c>
      <c r="B42">
        <v>1015</v>
      </c>
      <c r="C42">
        <v>36</v>
      </c>
      <c r="D42">
        <v>5</v>
      </c>
      <c r="E42">
        <v>80000</v>
      </c>
      <c r="F42">
        <v>400000</v>
      </c>
    </row>
    <row r="43" spans="1:6" x14ac:dyDescent="0.25">
      <c r="A43" s="12" t="s">
        <v>65</v>
      </c>
      <c r="B43">
        <v>1015</v>
      </c>
      <c r="C43">
        <v>36</v>
      </c>
      <c r="D43">
        <v>5</v>
      </c>
      <c r="E43">
        <v>80000</v>
      </c>
      <c r="F43">
        <v>400000</v>
      </c>
    </row>
    <row r="44" spans="1:6" x14ac:dyDescent="0.25">
      <c r="A44" s="4" t="s">
        <v>66</v>
      </c>
      <c r="B44">
        <v>1016</v>
      </c>
      <c r="C44">
        <v>37</v>
      </c>
      <c r="D44">
        <v>6</v>
      </c>
      <c r="E44">
        <v>65000</v>
      </c>
      <c r="F44">
        <v>390000</v>
      </c>
    </row>
    <row r="45" spans="1:6" x14ac:dyDescent="0.25">
      <c r="A45" s="6" t="s">
        <v>20</v>
      </c>
      <c r="B45">
        <v>1016</v>
      </c>
      <c r="C45">
        <v>37</v>
      </c>
      <c r="D45">
        <v>6</v>
      </c>
      <c r="E45">
        <v>65000</v>
      </c>
      <c r="F45">
        <v>390000</v>
      </c>
    </row>
    <row r="46" spans="1:6" x14ac:dyDescent="0.25">
      <c r="A46" s="9" t="s">
        <v>32</v>
      </c>
      <c r="B46">
        <v>1016</v>
      </c>
      <c r="C46">
        <v>37</v>
      </c>
      <c r="D46">
        <v>6</v>
      </c>
      <c r="E46">
        <v>65000</v>
      </c>
      <c r="F46">
        <v>390000</v>
      </c>
    </row>
    <row r="47" spans="1:6" x14ac:dyDescent="0.25">
      <c r="A47" s="10" t="s">
        <v>41</v>
      </c>
      <c r="B47">
        <v>1016</v>
      </c>
      <c r="C47">
        <v>37</v>
      </c>
      <c r="D47">
        <v>6</v>
      </c>
      <c r="E47">
        <v>65000</v>
      </c>
      <c r="F47">
        <v>390000</v>
      </c>
    </row>
    <row r="48" spans="1:6" x14ac:dyDescent="0.25">
      <c r="A48" s="11" t="s">
        <v>16</v>
      </c>
      <c r="B48">
        <v>1016</v>
      </c>
      <c r="C48">
        <v>37</v>
      </c>
      <c r="D48">
        <v>6</v>
      </c>
      <c r="E48">
        <v>65000</v>
      </c>
      <c r="F48">
        <v>390000</v>
      </c>
    </row>
    <row r="49" spans="1:6" x14ac:dyDescent="0.25">
      <c r="A49" s="12" t="s">
        <v>67</v>
      </c>
      <c r="B49">
        <v>1016</v>
      </c>
      <c r="C49">
        <v>37</v>
      </c>
      <c r="D49">
        <v>6</v>
      </c>
      <c r="E49">
        <v>65000</v>
      </c>
      <c r="F49">
        <v>390000</v>
      </c>
    </row>
    <row r="50" spans="1:6" x14ac:dyDescent="0.25">
      <c r="A50" s="4" t="s">
        <v>68</v>
      </c>
      <c r="B50">
        <v>1017</v>
      </c>
      <c r="C50">
        <v>38</v>
      </c>
      <c r="D50">
        <v>7</v>
      </c>
      <c r="E50">
        <v>55000</v>
      </c>
      <c r="F50">
        <v>385000</v>
      </c>
    </row>
    <row r="51" spans="1:6" x14ac:dyDescent="0.25">
      <c r="A51" s="6" t="s">
        <v>13</v>
      </c>
      <c r="B51">
        <v>1017</v>
      </c>
      <c r="C51">
        <v>38</v>
      </c>
      <c r="D51">
        <v>7</v>
      </c>
      <c r="E51">
        <v>55000</v>
      </c>
      <c r="F51">
        <v>385000</v>
      </c>
    </row>
    <row r="52" spans="1:6" x14ac:dyDescent="0.25">
      <c r="A52" s="9" t="s">
        <v>36</v>
      </c>
      <c r="B52">
        <v>1017</v>
      </c>
      <c r="C52">
        <v>38</v>
      </c>
      <c r="D52">
        <v>7</v>
      </c>
      <c r="E52">
        <v>55000</v>
      </c>
      <c r="F52">
        <v>385000</v>
      </c>
    </row>
    <row r="53" spans="1:6" x14ac:dyDescent="0.25">
      <c r="A53" s="10" t="s">
        <v>44</v>
      </c>
      <c r="B53">
        <v>1017</v>
      </c>
      <c r="C53">
        <v>38</v>
      </c>
      <c r="D53">
        <v>7</v>
      </c>
      <c r="E53">
        <v>55000</v>
      </c>
      <c r="F53">
        <v>385000</v>
      </c>
    </row>
    <row r="54" spans="1:6" x14ac:dyDescent="0.25">
      <c r="A54" s="11" t="s">
        <v>28</v>
      </c>
      <c r="B54">
        <v>1017</v>
      </c>
      <c r="C54">
        <v>38</v>
      </c>
      <c r="D54">
        <v>7</v>
      </c>
      <c r="E54">
        <v>55000</v>
      </c>
      <c r="F54">
        <v>385000</v>
      </c>
    </row>
    <row r="55" spans="1:6" x14ac:dyDescent="0.25">
      <c r="A55" s="12" t="s">
        <v>69</v>
      </c>
      <c r="B55">
        <v>1017</v>
      </c>
      <c r="C55">
        <v>38</v>
      </c>
      <c r="D55">
        <v>7</v>
      </c>
      <c r="E55">
        <v>55000</v>
      </c>
      <c r="F55">
        <v>385000</v>
      </c>
    </row>
    <row r="56" spans="1:6" x14ac:dyDescent="0.25">
      <c r="A56" s="4" t="s">
        <v>70</v>
      </c>
      <c r="B56">
        <v>1018</v>
      </c>
      <c r="C56">
        <v>39</v>
      </c>
      <c r="D56">
        <v>8</v>
      </c>
      <c r="E56">
        <v>25000</v>
      </c>
      <c r="F56">
        <v>200000</v>
      </c>
    </row>
    <row r="57" spans="1:6" x14ac:dyDescent="0.25">
      <c r="A57" s="6" t="s">
        <v>20</v>
      </c>
      <c r="B57">
        <v>1018</v>
      </c>
      <c r="C57">
        <v>39</v>
      </c>
      <c r="D57">
        <v>8</v>
      </c>
      <c r="E57">
        <v>25000</v>
      </c>
      <c r="F57">
        <v>200000</v>
      </c>
    </row>
    <row r="58" spans="1:6" x14ac:dyDescent="0.25">
      <c r="A58" s="9" t="s">
        <v>40</v>
      </c>
      <c r="B58">
        <v>1018</v>
      </c>
      <c r="C58">
        <v>39</v>
      </c>
      <c r="D58">
        <v>8</v>
      </c>
      <c r="E58">
        <v>25000</v>
      </c>
      <c r="F58">
        <v>200000</v>
      </c>
    </row>
    <row r="59" spans="1:6" x14ac:dyDescent="0.25">
      <c r="A59" s="10" t="s">
        <v>47</v>
      </c>
      <c r="B59">
        <v>1018</v>
      </c>
      <c r="C59">
        <v>39</v>
      </c>
      <c r="D59">
        <v>8</v>
      </c>
      <c r="E59">
        <v>25000</v>
      </c>
      <c r="F59">
        <v>200000</v>
      </c>
    </row>
    <row r="60" spans="1:6" x14ac:dyDescent="0.25">
      <c r="A60" s="11" t="s">
        <v>48</v>
      </c>
      <c r="B60">
        <v>1018</v>
      </c>
      <c r="C60">
        <v>39</v>
      </c>
      <c r="D60">
        <v>8</v>
      </c>
      <c r="E60">
        <v>25000</v>
      </c>
      <c r="F60">
        <v>200000</v>
      </c>
    </row>
    <row r="61" spans="1:6" x14ac:dyDescent="0.25">
      <c r="A61" s="12" t="s">
        <v>71</v>
      </c>
      <c r="B61">
        <v>1018</v>
      </c>
      <c r="C61">
        <v>39</v>
      </c>
      <c r="D61">
        <v>8</v>
      </c>
      <c r="E61">
        <v>25000</v>
      </c>
      <c r="F61">
        <v>200000</v>
      </c>
    </row>
    <row r="62" spans="1:6" x14ac:dyDescent="0.25">
      <c r="A62" s="4" t="s">
        <v>72</v>
      </c>
      <c r="B62">
        <v>1019</v>
      </c>
      <c r="C62">
        <v>40</v>
      </c>
      <c r="D62">
        <v>9</v>
      </c>
      <c r="E62">
        <v>15000</v>
      </c>
      <c r="F62">
        <v>135000</v>
      </c>
    </row>
    <row r="63" spans="1:6" x14ac:dyDescent="0.25">
      <c r="A63" s="6" t="s">
        <v>13</v>
      </c>
      <c r="B63">
        <v>1019</v>
      </c>
      <c r="C63">
        <v>40</v>
      </c>
      <c r="D63">
        <v>9</v>
      </c>
      <c r="E63">
        <v>15000</v>
      </c>
      <c r="F63">
        <v>135000</v>
      </c>
    </row>
    <row r="64" spans="1:6" x14ac:dyDescent="0.25">
      <c r="A64" s="9" t="s">
        <v>14</v>
      </c>
      <c r="B64">
        <v>1019</v>
      </c>
      <c r="C64">
        <v>40</v>
      </c>
      <c r="D64">
        <v>9</v>
      </c>
      <c r="E64">
        <v>15000</v>
      </c>
      <c r="F64">
        <v>135000</v>
      </c>
    </row>
    <row r="65" spans="1:6" x14ac:dyDescent="0.25">
      <c r="A65" s="10" t="s">
        <v>51</v>
      </c>
      <c r="B65">
        <v>1019</v>
      </c>
      <c r="C65">
        <v>40</v>
      </c>
      <c r="D65">
        <v>9</v>
      </c>
      <c r="E65">
        <v>15000</v>
      </c>
      <c r="F65">
        <v>135000</v>
      </c>
    </row>
    <row r="66" spans="1:6" x14ac:dyDescent="0.25">
      <c r="A66" s="11" t="s">
        <v>48</v>
      </c>
      <c r="B66">
        <v>1019</v>
      </c>
      <c r="C66">
        <v>40</v>
      </c>
      <c r="D66">
        <v>9</v>
      </c>
      <c r="E66">
        <v>15000</v>
      </c>
      <c r="F66">
        <v>135000</v>
      </c>
    </row>
    <row r="67" spans="1:6" x14ac:dyDescent="0.25">
      <c r="A67" s="12" t="s">
        <v>73</v>
      </c>
      <c r="B67">
        <v>1019</v>
      </c>
      <c r="C67">
        <v>40</v>
      </c>
      <c r="D67">
        <v>9</v>
      </c>
      <c r="E67">
        <v>15000</v>
      </c>
      <c r="F67">
        <v>135000</v>
      </c>
    </row>
    <row r="68" spans="1:6" x14ac:dyDescent="0.25">
      <c r="A68" s="4" t="s">
        <v>19</v>
      </c>
      <c r="B68">
        <v>1002</v>
      </c>
      <c r="C68">
        <v>23</v>
      </c>
      <c r="D68">
        <v>2</v>
      </c>
      <c r="E68">
        <v>180000</v>
      </c>
      <c r="F68">
        <v>360000</v>
      </c>
    </row>
    <row r="69" spans="1:6" x14ac:dyDescent="0.25">
      <c r="A69" s="6" t="s">
        <v>20</v>
      </c>
      <c r="B69">
        <v>1002</v>
      </c>
      <c r="C69">
        <v>23</v>
      </c>
      <c r="D69">
        <v>2</v>
      </c>
      <c r="E69">
        <v>180000</v>
      </c>
      <c r="F69">
        <v>360000</v>
      </c>
    </row>
    <row r="70" spans="1:6" x14ac:dyDescent="0.25">
      <c r="A70" s="9" t="s">
        <v>21</v>
      </c>
      <c r="B70">
        <v>1002</v>
      </c>
      <c r="C70">
        <v>23</v>
      </c>
      <c r="D70">
        <v>2</v>
      </c>
      <c r="E70">
        <v>180000</v>
      </c>
      <c r="F70">
        <v>360000</v>
      </c>
    </row>
    <row r="71" spans="1:6" x14ac:dyDescent="0.25">
      <c r="A71" s="10" t="s">
        <v>22</v>
      </c>
      <c r="B71">
        <v>1002</v>
      </c>
      <c r="C71">
        <v>23</v>
      </c>
      <c r="D71">
        <v>2</v>
      </c>
      <c r="E71">
        <v>180000</v>
      </c>
      <c r="F71">
        <v>360000</v>
      </c>
    </row>
    <row r="72" spans="1:6" x14ac:dyDescent="0.25">
      <c r="A72" s="11" t="s">
        <v>16</v>
      </c>
      <c r="B72">
        <v>1002</v>
      </c>
      <c r="C72">
        <v>23</v>
      </c>
      <c r="D72">
        <v>2</v>
      </c>
      <c r="E72">
        <v>180000</v>
      </c>
      <c r="F72">
        <v>360000</v>
      </c>
    </row>
    <row r="73" spans="1:6" x14ac:dyDescent="0.25">
      <c r="A73" s="12" t="s">
        <v>23</v>
      </c>
      <c r="B73">
        <v>1002</v>
      </c>
      <c r="C73">
        <v>23</v>
      </c>
      <c r="D73">
        <v>2</v>
      </c>
      <c r="E73">
        <v>180000</v>
      </c>
      <c r="F73">
        <v>360000</v>
      </c>
    </row>
    <row r="74" spans="1:6" x14ac:dyDescent="0.25">
      <c r="A74" s="4" t="s">
        <v>74</v>
      </c>
      <c r="B74">
        <v>1020</v>
      </c>
      <c r="C74">
        <v>41</v>
      </c>
      <c r="D74">
        <v>10</v>
      </c>
      <c r="E74">
        <v>12000</v>
      </c>
      <c r="F74">
        <v>120000</v>
      </c>
    </row>
    <row r="75" spans="1:6" x14ac:dyDescent="0.25">
      <c r="A75" s="6" t="s">
        <v>20</v>
      </c>
      <c r="B75">
        <v>1020</v>
      </c>
      <c r="C75">
        <v>41</v>
      </c>
      <c r="D75">
        <v>10</v>
      </c>
      <c r="E75">
        <v>12000</v>
      </c>
      <c r="F75">
        <v>120000</v>
      </c>
    </row>
    <row r="76" spans="1:6" x14ac:dyDescent="0.25">
      <c r="A76" s="9" t="s">
        <v>21</v>
      </c>
      <c r="B76">
        <v>1020</v>
      </c>
      <c r="C76">
        <v>41</v>
      </c>
      <c r="D76">
        <v>10</v>
      </c>
      <c r="E76">
        <v>12000</v>
      </c>
      <c r="F76">
        <v>120000</v>
      </c>
    </row>
    <row r="77" spans="1:6" x14ac:dyDescent="0.25">
      <c r="A77" s="10" t="s">
        <v>54</v>
      </c>
      <c r="B77">
        <v>1020</v>
      </c>
      <c r="C77">
        <v>41</v>
      </c>
      <c r="D77">
        <v>10</v>
      </c>
      <c r="E77">
        <v>12000</v>
      </c>
      <c r="F77">
        <v>120000</v>
      </c>
    </row>
    <row r="78" spans="1:6" x14ac:dyDescent="0.25">
      <c r="A78" s="11" t="s">
        <v>48</v>
      </c>
      <c r="B78">
        <v>1020</v>
      </c>
      <c r="C78">
        <v>41</v>
      </c>
      <c r="D78">
        <v>10</v>
      </c>
      <c r="E78">
        <v>12000</v>
      </c>
      <c r="F78">
        <v>120000</v>
      </c>
    </row>
    <row r="79" spans="1:6" x14ac:dyDescent="0.25">
      <c r="A79" s="12" t="s">
        <v>75</v>
      </c>
      <c r="B79">
        <v>1020</v>
      </c>
      <c r="C79">
        <v>41</v>
      </c>
      <c r="D79">
        <v>10</v>
      </c>
      <c r="E79">
        <v>12000</v>
      </c>
      <c r="F79">
        <v>120000</v>
      </c>
    </row>
    <row r="80" spans="1:6" x14ac:dyDescent="0.25">
      <c r="A80" s="4" t="s">
        <v>76</v>
      </c>
      <c r="B80">
        <v>1021</v>
      </c>
      <c r="C80">
        <v>22</v>
      </c>
      <c r="D80">
        <v>1</v>
      </c>
      <c r="E80">
        <v>450000</v>
      </c>
      <c r="F80">
        <v>450000</v>
      </c>
    </row>
    <row r="81" spans="1:6" x14ac:dyDescent="0.25">
      <c r="A81" s="6" t="s">
        <v>13</v>
      </c>
      <c r="B81">
        <v>1021</v>
      </c>
      <c r="C81">
        <v>22</v>
      </c>
      <c r="D81">
        <v>1</v>
      </c>
      <c r="E81">
        <v>450000</v>
      </c>
      <c r="F81">
        <v>450000</v>
      </c>
    </row>
    <row r="82" spans="1:6" x14ac:dyDescent="0.25">
      <c r="A82" s="9" t="s">
        <v>26</v>
      </c>
      <c r="B82">
        <v>1021</v>
      </c>
      <c r="C82">
        <v>22</v>
      </c>
      <c r="D82">
        <v>1</v>
      </c>
      <c r="E82">
        <v>450000</v>
      </c>
      <c r="F82">
        <v>450000</v>
      </c>
    </row>
    <row r="83" spans="1:6" x14ac:dyDescent="0.25">
      <c r="A83" s="10" t="s">
        <v>15</v>
      </c>
      <c r="B83">
        <v>1021</v>
      </c>
      <c r="C83">
        <v>22</v>
      </c>
      <c r="D83">
        <v>1</v>
      </c>
      <c r="E83">
        <v>450000</v>
      </c>
      <c r="F83">
        <v>450000</v>
      </c>
    </row>
    <row r="84" spans="1:6" x14ac:dyDescent="0.25">
      <c r="A84" s="11" t="s">
        <v>16</v>
      </c>
      <c r="B84">
        <v>1021</v>
      </c>
      <c r="C84">
        <v>22</v>
      </c>
      <c r="D84">
        <v>1</v>
      </c>
      <c r="E84">
        <v>450000</v>
      </c>
      <c r="F84">
        <v>450000</v>
      </c>
    </row>
    <row r="85" spans="1:6" x14ac:dyDescent="0.25">
      <c r="A85" s="12" t="s">
        <v>77</v>
      </c>
      <c r="B85">
        <v>1021</v>
      </c>
      <c r="C85">
        <v>22</v>
      </c>
      <c r="D85">
        <v>1</v>
      </c>
      <c r="E85">
        <v>450000</v>
      </c>
      <c r="F85">
        <v>450000</v>
      </c>
    </row>
    <row r="86" spans="1:6" x14ac:dyDescent="0.25">
      <c r="A86" s="4" t="s">
        <v>78</v>
      </c>
      <c r="B86">
        <v>1022</v>
      </c>
      <c r="C86">
        <v>23</v>
      </c>
      <c r="D86">
        <v>2</v>
      </c>
      <c r="E86">
        <v>180000</v>
      </c>
      <c r="F86">
        <v>360000</v>
      </c>
    </row>
    <row r="87" spans="1:6" x14ac:dyDescent="0.25">
      <c r="A87" s="6" t="s">
        <v>20</v>
      </c>
      <c r="B87">
        <v>1022</v>
      </c>
      <c r="C87">
        <v>23</v>
      </c>
      <c r="D87">
        <v>2</v>
      </c>
      <c r="E87">
        <v>180000</v>
      </c>
      <c r="F87">
        <v>360000</v>
      </c>
    </row>
    <row r="88" spans="1:6" x14ac:dyDescent="0.25">
      <c r="A88" s="9" t="s">
        <v>32</v>
      </c>
      <c r="B88">
        <v>1022</v>
      </c>
      <c r="C88">
        <v>23</v>
      </c>
      <c r="D88">
        <v>2</v>
      </c>
      <c r="E88">
        <v>180000</v>
      </c>
      <c r="F88">
        <v>360000</v>
      </c>
    </row>
    <row r="89" spans="1:6" x14ac:dyDescent="0.25">
      <c r="A89" s="10" t="s">
        <v>22</v>
      </c>
      <c r="B89">
        <v>1022</v>
      </c>
      <c r="C89">
        <v>23</v>
      </c>
      <c r="D89">
        <v>2</v>
      </c>
      <c r="E89">
        <v>180000</v>
      </c>
      <c r="F89">
        <v>360000</v>
      </c>
    </row>
    <row r="90" spans="1:6" x14ac:dyDescent="0.25">
      <c r="A90" s="11" t="s">
        <v>16</v>
      </c>
      <c r="B90">
        <v>1022</v>
      </c>
      <c r="C90">
        <v>23</v>
      </c>
      <c r="D90">
        <v>2</v>
      </c>
      <c r="E90">
        <v>180000</v>
      </c>
      <c r="F90">
        <v>360000</v>
      </c>
    </row>
    <row r="91" spans="1:6" x14ac:dyDescent="0.25">
      <c r="A91" s="12" t="s">
        <v>79</v>
      </c>
      <c r="B91">
        <v>1022</v>
      </c>
      <c r="C91">
        <v>23</v>
      </c>
      <c r="D91">
        <v>2</v>
      </c>
      <c r="E91">
        <v>180000</v>
      </c>
      <c r="F91">
        <v>360000</v>
      </c>
    </row>
    <row r="92" spans="1:6" x14ac:dyDescent="0.25">
      <c r="A92" s="4" t="s">
        <v>80</v>
      </c>
      <c r="B92">
        <v>1023</v>
      </c>
      <c r="C92">
        <v>24</v>
      </c>
      <c r="D92">
        <v>3</v>
      </c>
      <c r="E92">
        <v>120000</v>
      </c>
      <c r="F92">
        <v>360000</v>
      </c>
    </row>
    <row r="93" spans="1:6" x14ac:dyDescent="0.25">
      <c r="A93" s="6" t="s">
        <v>13</v>
      </c>
      <c r="B93">
        <v>1023</v>
      </c>
      <c r="C93">
        <v>24</v>
      </c>
      <c r="D93">
        <v>3</v>
      </c>
      <c r="E93">
        <v>120000</v>
      </c>
      <c r="F93">
        <v>360000</v>
      </c>
    </row>
    <row r="94" spans="1:6" x14ac:dyDescent="0.25">
      <c r="A94" s="9" t="s">
        <v>36</v>
      </c>
      <c r="B94">
        <v>1023</v>
      </c>
      <c r="C94">
        <v>24</v>
      </c>
      <c r="D94">
        <v>3</v>
      </c>
      <c r="E94">
        <v>120000</v>
      </c>
      <c r="F94">
        <v>360000</v>
      </c>
    </row>
    <row r="95" spans="1:6" x14ac:dyDescent="0.25">
      <c r="A95" s="10" t="s">
        <v>27</v>
      </c>
      <c r="B95">
        <v>1023</v>
      </c>
      <c r="C95">
        <v>24</v>
      </c>
      <c r="D95">
        <v>3</v>
      </c>
      <c r="E95">
        <v>120000</v>
      </c>
      <c r="F95">
        <v>360000</v>
      </c>
    </row>
    <row r="96" spans="1:6" x14ac:dyDescent="0.25">
      <c r="A96" s="11" t="s">
        <v>28</v>
      </c>
      <c r="B96">
        <v>1023</v>
      </c>
      <c r="C96">
        <v>24</v>
      </c>
      <c r="D96">
        <v>3</v>
      </c>
      <c r="E96">
        <v>120000</v>
      </c>
      <c r="F96">
        <v>360000</v>
      </c>
    </row>
    <row r="97" spans="1:6" x14ac:dyDescent="0.25">
      <c r="A97" s="12" t="s">
        <v>81</v>
      </c>
      <c r="B97">
        <v>1023</v>
      </c>
      <c r="C97">
        <v>24</v>
      </c>
      <c r="D97">
        <v>3</v>
      </c>
      <c r="E97">
        <v>120000</v>
      </c>
      <c r="F97">
        <v>360000</v>
      </c>
    </row>
    <row r="98" spans="1:6" x14ac:dyDescent="0.25">
      <c r="A98" s="4" t="s">
        <v>82</v>
      </c>
      <c r="B98">
        <v>1024</v>
      </c>
      <c r="C98">
        <v>25</v>
      </c>
      <c r="D98">
        <v>4</v>
      </c>
      <c r="E98">
        <v>85000</v>
      </c>
      <c r="F98">
        <v>340000</v>
      </c>
    </row>
    <row r="99" spans="1:6" x14ac:dyDescent="0.25">
      <c r="A99" s="6" t="s">
        <v>20</v>
      </c>
      <c r="B99">
        <v>1024</v>
      </c>
      <c r="C99">
        <v>25</v>
      </c>
      <c r="D99">
        <v>4</v>
      </c>
      <c r="E99">
        <v>85000</v>
      </c>
      <c r="F99">
        <v>340000</v>
      </c>
    </row>
    <row r="100" spans="1:6" x14ac:dyDescent="0.25">
      <c r="A100" s="9" t="s">
        <v>40</v>
      </c>
      <c r="B100">
        <v>1024</v>
      </c>
      <c r="C100">
        <v>25</v>
      </c>
      <c r="D100">
        <v>4</v>
      </c>
      <c r="E100">
        <v>85000</v>
      </c>
      <c r="F100">
        <v>340000</v>
      </c>
    </row>
    <row r="101" spans="1:6" x14ac:dyDescent="0.25">
      <c r="A101" s="10" t="s">
        <v>33</v>
      </c>
      <c r="B101">
        <v>1024</v>
      </c>
      <c r="C101">
        <v>25</v>
      </c>
      <c r="D101">
        <v>4</v>
      </c>
      <c r="E101">
        <v>85000</v>
      </c>
      <c r="F101">
        <v>340000</v>
      </c>
    </row>
    <row r="102" spans="1:6" x14ac:dyDescent="0.25">
      <c r="A102" s="11" t="s">
        <v>28</v>
      </c>
      <c r="B102">
        <v>1024</v>
      </c>
      <c r="C102">
        <v>25</v>
      </c>
      <c r="D102">
        <v>4</v>
      </c>
      <c r="E102">
        <v>85000</v>
      </c>
      <c r="F102">
        <v>340000</v>
      </c>
    </row>
    <row r="103" spans="1:6" x14ac:dyDescent="0.25">
      <c r="A103" s="12" t="s">
        <v>83</v>
      </c>
      <c r="B103">
        <v>1024</v>
      </c>
      <c r="C103">
        <v>25</v>
      </c>
      <c r="D103">
        <v>4</v>
      </c>
      <c r="E103">
        <v>85000</v>
      </c>
      <c r="F103">
        <v>340000</v>
      </c>
    </row>
    <row r="104" spans="1:6" x14ac:dyDescent="0.25">
      <c r="A104" s="4" t="s">
        <v>84</v>
      </c>
      <c r="B104">
        <v>1025</v>
      </c>
      <c r="C104">
        <v>26</v>
      </c>
      <c r="D104">
        <v>5</v>
      </c>
      <c r="E104">
        <v>80000</v>
      </c>
      <c r="F104">
        <v>400000</v>
      </c>
    </row>
    <row r="105" spans="1:6" x14ac:dyDescent="0.25">
      <c r="A105" s="6" t="s">
        <v>13</v>
      </c>
      <c r="B105">
        <v>1025</v>
      </c>
      <c r="C105">
        <v>26</v>
      </c>
      <c r="D105">
        <v>5</v>
      </c>
      <c r="E105">
        <v>80000</v>
      </c>
      <c r="F105">
        <v>400000</v>
      </c>
    </row>
    <row r="106" spans="1:6" x14ac:dyDescent="0.25">
      <c r="A106" s="9" t="s">
        <v>14</v>
      </c>
      <c r="B106">
        <v>1025</v>
      </c>
      <c r="C106">
        <v>26</v>
      </c>
      <c r="D106">
        <v>5</v>
      </c>
      <c r="E106">
        <v>80000</v>
      </c>
      <c r="F106">
        <v>400000</v>
      </c>
    </row>
    <row r="107" spans="1:6" x14ac:dyDescent="0.25">
      <c r="A107" s="10" t="s">
        <v>37</v>
      </c>
      <c r="B107">
        <v>1025</v>
      </c>
      <c r="C107">
        <v>26</v>
      </c>
      <c r="D107">
        <v>5</v>
      </c>
      <c r="E107">
        <v>80000</v>
      </c>
      <c r="F107">
        <v>400000</v>
      </c>
    </row>
    <row r="108" spans="1:6" x14ac:dyDescent="0.25">
      <c r="A108" s="11" t="s">
        <v>16</v>
      </c>
      <c r="B108">
        <v>1025</v>
      </c>
      <c r="C108">
        <v>26</v>
      </c>
      <c r="D108">
        <v>5</v>
      </c>
      <c r="E108">
        <v>80000</v>
      </c>
      <c r="F108">
        <v>400000</v>
      </c>
    </row>
    <row r="109" spans="1:6" x14ac:dyDescent="0.25">
      <c r="A109" s="12" t="s">
        <v>85</v>
      </c>
      <c r="B109">
        <v>1025</v>
      </c>
      <c r="C109">
        <v>26</v>
      </c>
      <c r="D109">
        <v>5</v>
      </c>
      <c r="E109">
        <v>80000</v>
      </c>
      <c r="F109">
        <v>400000</v>
      </c>
    </row>
    <row r="110" spans="1:6" x14ac:dyDescent="0.25">
      <c r="A110" s="4" t="s">
        <v>86</v>
      </c>
      <c r="B110">
        <v>1026</v>
      </c>
      <c r="C110">
        <v>27</v>
      </c>
      <c r="D110">
        <v>6</v>
      </c>
      <c r="E110">
        <v>65000</v>
      </c>
      <c r="F110">
        <v>390000</v>
      </c>
    </row>
    <row r="111" spans="1:6" x14ac:dyDescent="0.25">
      <c r="A111" s="6" t="s">
        <v>20</v>
      </c>
      <c r="B111">
        <v>1026</v>
      </c>
      <c r="C111">
        <v>27</v>
      </c>
      <c r="D111">
        <v>6</v>
      </c>
      <c r="E111">
        <v>65000</v>
      </c>
      <c r="F111">
        <v>390000</v>
      </c>
    </row>
    <row r="112" spans="1:6" x14ac:dyDescent="0.25">
      <c r="A112" s="9" t="s">
        <v>21</v>
      </c>
      <c r="B112">
        <v>1026</v>
      </c>
      <c r="C112">
        <v>27</v>
      </c>
      <c r="D112">
        <v>6</v>
      </c>
      <c r="E112">
        <v>65000</v>
      </c>
      <c r="F112">
        <v>390000</v>
      </c>
    </row>
    <row r="113" spans="1:6" x14ac:dyDescent="0.25">
      <c r="A113" s="10" t="s">
        <v>41</v>
      </c>
      <c r="B113">
        <v>1026</v>
      </c>
      <c r="C113">
        <v>27</v>
      </c>
      <c r="D113">
        <v>6</v>
      </c>
      <c r="E113">
        <v>65000</v>
      </c>
      <c r="F113">
        <v>390000</v>
      </c>
    </row>
    <row r="114" spans="1:6" x14ac:dyDescent="0.25">
      <c r="A114" s="11" t="s">
        <v>16</v>
      </c>
      <c r="B114">
        <v>1026</v>
      </c>
      <c r="C114">
        <v>27</v>
      </c>
      <c r="D114">
        <v>6</v>
      </c>
      <c r="E114">
        <v>65000</v>
      </c>
      <c r="F114">
        <v>390000</v>
      </c>
    </row>
    <row r="115" spans="1:6" x14ac:dyDescent="0.25">
      <c r="A115" s="12" t="s">
        <v>87</v>
      </c>
      <c r="B115">
        <v>1026</v>
      </c>
      <c r="C115">
        <v>27</v>
      </c>
      <c r="D115">
        <v>6</v>
      </c>
      <c r="E115">
        <v>65000</v>
      </c>
      <c r="F115">
        <v>390000</v>
      </c>
    </row>
    <row r="116" spans="1:6" x14ac:dyDescent="0.25">
      <c r="A116" s="4" t="s">
        <v>88</v>
      </c>
      <c r="B116">
        <v>1027</v>
      </c>
      <c r="C116">
        <v>28</v>
      </c>
      <c r="D116">
        <v>7</v>
      </c>
      <c r="E116">
        <v>55000</v>
      </c>
      <c r="F116">
        <v>385000</v>
      </c>
    </row>
    <row r="117" spans="1:6" x14ac:dyDescent="0.25">
      <c r="A117" s="6" t="s">
        <v>13</v>
      </c>
      <c r="B117">
        <v>1027</v>
      </c>
      <c r="C117">
        <v>28</v>
      </c>
      <c r="D117">
        <v>7</v>
      </c>
      <c r="E117">
        <v>55000</v>
      </c>
      <c r="F117">
        <v>385000</v>
      </c>
    </row>
    <row r="118" spans="1:6" x14ac:dyDescent="0.25">
      <c r="A118" s="9" t="s">
        <v>26</v>
      </c>
      <c r="B118">
        <v>1027</v>
      </c>
      <c r="C118">
        <v>28</v>
      </c>
      <c r="D118">
        <v>7</v>
      </c>
      <c r="E118">
        <v>55000</v>
      </c>
      <c r="F118">
        <v>385000</v>
      </c>
    </row>
    <row r="119" spans="1:6" x14ac:dyDescent="0.25">
      <c r="A119" s="10" t="s">
        <v>44</v>
      </c>
      <c r="B119">
        <v>1027</v>
      </c>
      <c r="C119">
        <v>28</v>
      </c>
      <c r="D119">
        <v>7</v>
      </c>
      <c r="E119">
        <v>55000</v>
      </c>
      <c r="F119">
        <v>385000</v>
      </c>
    </row>
    <row r="120" spans="1:6" x14ac:dyDescent="0.25">
      <c r="A120" s="11" t="s">
        <v>28</v>
      </c>
      <c r="B120">
        <v>1027</v>
      </c>
      <c r="C120">
        <v>28</v>
      </c>
      <c r="D120">
        <v>7</v>
      </c>
      <c r="E120">
        <v>55000</v>
      </c>
      <c r="F120">
        <v>385000</v>
      </c>
    </row>
    <row r="121" spans="1:6" x14ac:dyDescent="0.25">
      <c r="A121" s="12" t="s">
        <v>89</v>
      </c>
      <c r="B121">
        <v>1027</v>
      </c>
      <c r="C121">
        <v>28</v>
      </c>
      <c r="D121">
        <v>7</v>
      </c>
      <c r="E121">
        <v>55000</v>
      </c>
      <c r="F121">
        <v>385000</v>
      </c>
    </row>
    <row r="122" spans="1:6" x14ac:dyDescent="0.25">
      <c r="A122" s="4" t="s">
        <v>90</v>
      </c>
      <c r="B122">
        <v>1028</v>
      </c>
      <c r="C122">
        <v>29</v>
      </c>
      <c r="D122">
        <v>8</v>
      </c>
      <c r="E122">
        <v>25000</v>
      </c>
      <c r="F122">
        <v>200000</v>
      </c>
    </row>
    <row r="123" spans="1:6" x14ac:dyDescent="0.25">
      <c r="A123" s="6" t="s">
        <v>20</v>
      </c>
      <c r="B123">
        <v>1028</v>
      </c>
      <c r="C123">
        <v>29</v>
      </c>
      <c r="D123">
        <v>8</v>
      </c>
      <c r="E123">
        <v>25000</v>
      </c>
      <c r="F123">
        <v>200000</v>
      </c>
    </row>
    <row r="124" spans="1:6" x14ac:dyDescent="0.25">
      <c r="A124" s="9" t="s">
        <v>32</v>
      </c>
      <c r="B124">
        <v>1028</v>
      </c>
      <c r="C124">
        <v>29</v>
      </c>
      <c r="D124">
        <v>8</v>
      </c>
      <c r="E124">
        <v>25000</v>
      </c>
      <c r="F124">
        <v>200000</v>
      </c>
    </row>
    <row r="125" spans="1:6" x14ac:dyDescent="0.25">
      <c r="A125" s="10" t="s">
        <v>47</v>
      </c>
      <c r="B125">
        <v>1028</v>
      </c>
      <c r="C125">
        <v>29</v>
      </c>
      <c r="D125">
        <v>8</v>
      </c>
      <c r="E125">
        <v>25000</v>
      </c>
      <c r="F125">
        <v>200000</v>
      </c>
    </row>
    <row r="126" spans="1:6" x14ac:dyDescent="0.25">
      <c r="A126" s="11" t="s">
        <v>48</v>
      </c>
      <c r="B126">
        <v>1028</v>
      </c>
      <c r="C126">
        <v>29</v>
      </c>
      <c r="D126">
        <v>8</v>
      </c>
      <c r="E126">
        <v>25000</v>
      </c>
      <c r="F126">
        <v>200000</v>
      </c>
    </row>
    <row r="127" spans="1:6" x14ac:dyDescent="0.25">
      <c r="A127" s="12" t="s">
        <v>91</v>
      </c>
      <c r="B127">
        <v>1028</v>
      </c>
      <c r="C127">
        <v>29</v>
      </c>
      <c r="D127">
        <v>8</v>
      </c>
      <c r="E127">
        <v>25000</v>
      </c>
      <c r="F127">
        <v>200000</v>
      </c>
    </row>
    <row r="128" spans="1:6" x14ac:dyDescent="0.25">
      <c r="A128" s="4" t="s">
        <v>92</v>
      </c>
      <c r="B128">
        <v>1029</v>
      </c>
      <c r="C128">
        <v>30</v>
      </c>
      <c r="D128">
        <v>9</v>
      </c>
      <c r="E128">
        <v>15000</v>
      </c>
      <c r="F128">
        <v>135000</v>
      </c>
    </row>
    <row r="129" spans="1:6" x14ac:dyDescent="0.25">
      <c r="A129" s="6" t="s">
        <v>13</v>
      </c>
      <c r="B129">
        <v>1029</v>
      </c>
      <c r="C129">
        <v>30</v>
      </c>
      <c r="D129">
        <v>9</v>
      </c>
      <c r="E129">
        <v>15000</v>
      </c>
      <c r="F129">
        <v>135000</v>
      </c>
    </row>
    <row r="130" spans="1:6" x14ac:dyDescent="0.25">
      <c r="A130" s="9" t="s">
        <v>36</v>
      </c>
      <c r="B130">
        <v>1029</v>
      </c>
      <c r="C130">
        <v>30</v>
      </c>
      <c r="D130">
        <v>9</v>
      </c>
      <c r="E130">
        <v>15000</v>
      </c>
      <c r="F130">
        <v>135000</v>
      </c>
    </row>
    <row r="131" spans="1:6" x14ac:dyDescent="0.25">
      <c r="A131" s="10" t="s">
        <v>51</v>
      </c>
      <c r="B131">
        <v>1029</v>
      </c>
      <c r="C131">
        <v>30</v>
      </c>
      <c r="D131">
        <v>9</v>
      </c>
      <c r="E131">
        <v>15000</v>
      </c>
      <c r="F131">
        <v>135000</v>
      </c>
    </row>
    <row r="132" spans="1:6" x14ac:dyDescent="0.25">
      <c r="A132" s="11" t="s">
        <v>48</v>
      </c>
      <c r="B132">
        <v>1029</v>
      </c>
      <c r="C132">
        <v>30</v>
      </c>
      <c r="D132">
        <v>9</v>
      </c>
      <c r="E132">
        <v>15000</v>
      </c>
      <c r="F132">
        <v>135000</v>
      </c>
    </row>
    <row r="133" spans="1:6" x14ac:dyDescent="0.25">
      <c r="A133" s="12" t="s">
        <v>17</v>
      </c>
      <c r="B133">
        <v>1029</v>
      </c>
      <c r="C133">
        <v>30</v>
      </c>
      <c r="D133">
        <v>9</v>
      </c>
      <c r="E133">
        <v>15000</v>
      </c>
      <c r="F133">
        <v>135000</v>
      </c>
    </row>
    <row r="134" spans="1:6" x14ac:dyDescent="0.25">
      <c r="A134" s="4" t="s">
        <v>25</v>
      </c>
      <c r="B134">
        <v>1003</v>
      </c>
      <c r="C134">
        <v>24</v>
      </c>
      <c r="D134">
        <v>3</v>
      </c>
      <c r="E134">
        <v>120000</v>
      </c>
      <c r="F134">
        <v>360000</v>
      </c>
    </row>
    <row r="135" spans="1:6" x14ac:dyDescent="0.25">
      <c r="A135" s="6" t="s">
        <v>13</v>
      </c>
      <c r="B135">
        <v>1003</v>
      </c>
      <c r="C135">
        <v>24</v>
      </c>
      <c r="D135">
        <v>3</v>
      </c>
      <c r="E135">
        <v>120000</v>
      </c>
      <c r="F135">
        <v>360000</v>
      </c>
    </row>
    <row r="136" spans="1:6" x14ac:dyDescent="0.25">
      <c r="A136" s="9" t="s">
        <v>26</v>
      </c>
      <c r="B136">
        <v>1003</v>
      </c>
      <c r="C136">
        <v>24</v>
      </c>
      <c r="D136">
        <v>3</v>
      </c>
      <c r="E136">
        <v>120000</v>
      </c>
      <c r="F136">
        <v>360000</v>
      </c>
    </row>
    <row r="137" spans="1:6" x14ac:dyDescent="0.25">
      <c r="A137" s="10" t="s">
        <v>27</v>
      </c>
      <c r="B137">
        <v>1003</v>
      </c>
      <c r="C137">
        <v>24</v>
      </c>
      <c r="D137">
        <v>3</v>
      </c>
      <c r="E137">
        <v>120000</v>
      </c>
      <c r="F137">
        <v>360000</v>
      </c>
    </row>
    <row r="138" spans="1:6" x14ac:dyDescent="0.25">
      <c r="A138" s="11" t="s">
        <v>28</v>
      </c>
      <c r="B138">
        <v>1003</v>
      </c>
      <c r="C138">
        <v>24</v>
      </c>
      <c r="D138">
        <v>3</v>
      </c>
      <c r="E138">
        <v>120000</v>
      </c>
      <c r="F138">
        <v>360000</v>
      </c>
    </row>
    <row r="139" spans="1:6" x14ac:dyDescent="0.25">
      <c r="A139" s="12" t="s">
        <v>29</v>
      </c>
      <c r="B139">
        <v>1003</v>
      </c>
      <c r="C139">
        <v>24</v>
      </c>
      <c r="D139">
        <v>3</v>
      </c>
      <c r="E139">
        <v>120000</v>
      </c>
      <c r="F139">
        <v>360000</v>
      </c>
    </row>
    <row r="140" spans="1:6" x14ac:dyDescent="0.25">
      <c r="A140" s="4" t="s">
        <v>93</v>
      </c>
      <c r="B140">
        <v>1030</v>
      </c>
      <c r="C140">
        <v>31</v>
      </c>
      <c r="D140">
        <v>10</v>
      </c>
      <c r="E140">
        <v>12000</v>
      </c>
      <c r="F140">
        <v>120000</v>
      </c>
    </row>
    <row r="141" spans="1:6" x14ac:dyDescent="0.25">
      <c r="A141" s="6" t="s">
        <v>20</v>
      </c>
      <c r="B141">
        <v>1030</v>
      </c>
      <c r="C141">
        <v>31</v>
      </c>
      <c r="D141">
        <v>10</v>
      </c>
      <c r="E141">
        <v>12000</v>
      </c>
      <c r="F141">
        <v>120000</v>
      </c>
    </row>
    <row r="142" spans="1:6" x14ac:dyDescent="0.25">
      <c r="A142" s="9" t="s">
        <v>40</v>
      </c>
      <c r="B142">
        <v>1030</v>
      </c>
      <c r="C142">
        <v>31</v>
      </c>
      <c r="D142">
        <v>10</v>
      </c>
      <c r="E142">
        <v>12000</v>
      </c>
      <c r="F142">
        <v>120000</v>
      </c>
    </row>
    <row r="143" spans="1:6" x14ac:dyDescent="0.25">
      <c r="A143" s="10" t="s">
        <v>54</v>
      </c>
      <c r="B143">
        <v>1030</v>
      </c>
      <c r="C143">
        <v>31</v>
      </c>
      <c r="D143">
        <v>10</v>
      </c>
      <c r="E143">
        <v>12000</v>
      </c>
      <c r="F143">
        <v>120000</v>
      </c>
    </row>
    <row r="144" spans="1:6" x14ac:dyDescent="0.25">
      <c r="A144" s="11" t="s">
        <v>48</v>
      </c>
      <c r="B144">
        <v>1030</v>
      </c>
      <c r="C144">
        <v>31</v>
      </c>
      <c r="D144">
        <v>10</v>
      </c>
      <c r="E144">
        <v>12000</v>
      </c>
      <c r="F144">
        <v>120000</v>
      </c>
    </row>
    <row r="145" spans="1:6" x14ac:dyDescent="0.25">
      <c r="A145" s="12" t="s">
        <v>23</v>
      </c>
      <c r="B145">
        <v>1030</v>
      </c>
      <c r="C145">
        <v>31</v>
      </c>
      <c r="D145">
        <v>10</v>
      </c>
      <c r="E145">
        <v>12000</v>
      </c>
      <c r="F145">
        <v>120000</v>
      </c>
    </row>
    <row r="146" spans="1:6" x14ac:dyDescent="0.25">
      <c r="A146" s="4" t="s">
        <v>94</v>
      </c>
      <c r="B146">
        <v>1031</v>
      </c>
      <c r="C146">
        <v>32</v>
      </c>
      <c r="D146">
        <v>1</v>
      </c>
      <c r="E146">
        <v>450000</v>
      </c>
      <c r="F146">
        <v>450000</v>
      </c>
    </row>
    <row r="147" spans="1:6" x14ac:dyDescent="0.25">
      <c r="A147" s="6" t="s">
        <v>13</v>
      </c>
      <c r="B147">
        <v>1031</v>
      </c>
      <c r="C147">
        <v>32</v>
      </c>
      <c r="D147">
        <v>1</v>
      </c>
      <c r="E147">
        <v>450000</v>
      </c>
      <c r="F147">
        <v>450000</v>
      </c>
    </row>
    <row r="148" spans="1:6" x14ac:dyDescent="0.25">
      <c r="A148" s="9" t="s">
        <v>14</v>
      </c>
      <c r="B148">
        <v>1031</v>
      </c>
      <c r="C148">
        <v>32</v>
      </c>
      <c r="D148">
        <v>1</v>
      </c>
      <c r="E148">
        <v>450000</v>
      </c>
      <c r="F148">
        <v>450000</v>
      </c>
    </row>
    <row r="149" spans="1:6" x14ac:dyDescent="0.25">
      <c r="A149" s="10" t="s">
        <v>15</v>
      </c>
      <c r="B149">
        <v>1031</v>
      </c>
      <c r="C149">
        <v>32</v>
      </c>
      <c r="D149">
        <v>1</v>
      </c>
      <c r="E149">
        <v>450000</v>
      </c>
      <c r="F149">
        <v>450000</v>
      </c>
    </row>
    <row r="150" spans="1:6" x14ac:dyDescent="0.25">
      <c r="A150" s="11" t="s">
        <v>16</v>
      </c>
      <c r="B150">
        <v>1031</v>
      </c>
      <c r="C150">
        <v>32</v>
      </c>
      <c r="D150">
        <v>1</v>
      </c>
      <c r="E150">
        <v>450000</v>
      </c>
      <c r="F150">
        <v>450000</v>
      </c>
    </row>
    <row r="151" spans="1:6" x14ac:dyDescent="0.25">
      <c r="A151" s="12" t="s">
        <v>29</v>
      </c>
      <c r="B151">
        <v>1031</v>
      </c>
      <c r="C151">
        <v>32</v>
      </c>
      <c r="D151">
        <v>1</v>
      </c>
      <c r="E151">
        <v>450000</v>
      </c>
      <c r="F151">
        <v>450000</v>
      </c>
    </row>
    <row r="152" spans="1:6" x14ac:dyDescent="0.25">
      <c r="A152" s="4" t="s">
        <v>95</v>
      </c>
      <c r="B152">
        <v>1032</v>
      </c>
      <c r="C152">
        <v>33</v>
      </c>
      <c r="D152">
        <v>2</v>
      </c>
      <c r="E152">
        <v>180000</v>
      </c>
      <c r="F152">
        <v>360000</v>
      </c>
    </row>
    <row r="153" spans="1:6" x14ac:dyDescent="0.25">
      <c r="A153" s="6" t="s">
        <v>20</v>
      </c>
      <c r="B153">
        <v>1032</v>
      </c>
      <c r="C153">
        <v>33</v>
      </c>
      <c r="D153">
        <v>2</v>
      </c>
      <c r="E153">
        <v>180000</v>
      </c>
      <c r="F153">
        <v>360000</v>
      </c>
    </row>
    <row r="154" spans="1:6" x14ac:dyDescent="0.25">
      <c r="A154" s="9" t="s">
        <v>21</v>
      </c>
      <c r="B154">
        <v>1032</v>
      </c>
      <c r="C154">
        <v>33</v>
      </c>
      <c r="D154">
        <v>2</v>
      </c>
      <c r="E154">
        <v>180000</v>
      </c>
      <c r="F154">
        <v>360000</v>
      </c>
    </row>
    <row r="155" spans="1:6" x14ac:dyDescent="0.25">
      <c r="A155" s="10" t="s">
        <v>22</v>
      </c>
      <c r="B155">
        <v>1032</v>
      </c>
      <c r="C155">
        <v>33</v>
      </c>
      <c r="D155">
        <v>2</v>
      </c>
      <c r="E155">
        <v>180000</v>
      </c>
      <c r="F155">
        <v>360000</v>
      </c>
    </row>
    <row r="156" spans="1:6" x14ac:dyDescent="0.25">
      <c r="A156" s="11" t="s">
        <v>16</v>
      </c>
      <c r="B156">
        <v>1032</v>
      </c>
      <c r="C156">
        <v>33</v>
      </c>
      <c r="D156">
        <v>2</v>
      </c>
      <c r="E156">
        <v>180000</v>
      </c>
      <c r="F156">
        <v>360000</v>
      </c>
    </row>
    <row r="157" spans="1:6" x14ac:dyDescent="0.25">
      <c r="A157" s="12" t="s">
        <v>34</v>
      </c>
      <c r="B157">
        <v>1032</v>
      </c>
      <c r="C157">
        <v>33</v>
      </c>
      <c r="D157">
        <v>2</v>
      </c>
      <c r="E157">
        <v>180000</v>
      </c>
      <c r="F157">
        <v>360000</v>
      </c>
    </row>
    <row r="158" spans="1:6" x14ac:dyDescent="0.25">
      <c r="A158" s="4" t="s">
        <v>96</v>
      </c>
      <c r="B158">
        <v>1033</v>
      </c>
      <c r="C158">
        <v>34</v>
      </c>
      <c r="D158">
        <v>3</v>
      </c>
      <c r="E158">
        <v>120000</v>
      </c>
      <c r="F158">
        <v>360000</v>
      </c>
    </row>
    <row r="159" spans="1:6" x14ac:dyDescent="0.25">
      <c r="A159" s="6" t="s">
        <v>13</v>
      </c>
      <c r="B159">
        <v>1033</v>
      </c>
      <c r="C159">
        <v>34</v>
      </c>
      <c r="D159">
        <v>3</v>
      </c>
      <c r="E159">
        <v>120000</v>
      </c>
      <c r="F159">
        <v>360000</v>
      </c>
    </row>
    <row r="160" spans="1:6" x14ac:dyDescent="0.25">
      <c r="A160" s="9" t="s">
        <v>26</v>
      </c>
      <c r="B160">
        <v>1033</v>
      </c>
      <c r="C160">
        <v>34</v>
      </c>
      <c r="D160">
        <v>3</v>
      </c>
      <c r="E160">
        <v>120000</v>
      </c>
      <c r="F160">
        <v>360000</v>
      </c>
    </row>
    <row r="161" spans="1:6" x14ac:dyDescent="0.25">
      <c r="A161" s="10" t="s">
        <v>27</v>
      </c>
      <c r="B161">
        <v>1033</v>
      </c>
      <c r="C161">
        <v>34</v>
      </c>
      <c r="D161">
        <v>3</v>
      </c>
      <c r="E161">
        <v>120000</v>
      </c>
      <c r="F161">
        <v>360000</v>
      </c>
    </row>
    <row r="162" spans="1:6" x14ac:dyDescent="0.25">
      <c r="A162" s="11" t="s">
        <v>28</v>
      </c>
      <c r="B162">
        <v>1033</v>
      </c>
      <c r="C162">
        <v>34</v>
      </c>
      <c r="D162">
        <v>3</v>
      </c>
      <c r="E162">
        <v>120000</v>
      </c>
      <c r="F162">
        <v>360000</v>
      </c>
    </row>
    <row r="163" spans="1:6" x14ac:dyDescent="0.25">
      <c r="A163" s="12" t="s">
        <v>38</v>
      </c>
      <c r="B163">
        <v>1033</v>
      </c>
      <c r="C163">
        <v>34</v>
      </c>
      <c r="D163">
        <v>3</v>
      </c>
      <c r="E163">
        <v>120000</v>
      </c>
      <c r="F163">
        <v>360000</v>
      </c>
    </row>
    <row r="164" spans="1:6" x14ac:dyDescent="0.25">
      <c r="A164" s="4" t="s">
        <v>97</v>
      </c>
      <c r="B164">
        <v>1034</v>
      </c>
      <c r="C164">
        <v>35</v>
      </c>
      <c r="D164">
        <v>4</v>
      </c>
      <c r="E164">
        <v>85000</v>
      </c>
      <c r="F164">
        <v>340000</v>
      </c>
    </row>
    <row r="165" spans="1:6" x14ac:dyDescent="0.25">
      <c r="A165" s="6" t="s">
        <v>20</v>
      </c>
      <c r="B165">
        <v>1034</v>
      </c>
      <c r="C165">
        <v>35</v>
      </c>
      <c r="D165">
        <v>4</v>
      </c>
      <c r="E165">
        <v>85000</v>
      </c>
      <c r="F165">
        <v>340000</v>
      </c>
    </row>
    <row r="166" spans="1:6" x14ac:dyDescent="0.25">
      <c r="A166" s="9" t="s">
        <v>32</v>
      </c>
      <c r="B166">
        <v>1034</v>
      </c>
      <c r="C166">
        <v>35</v>
      </c>
      <c r="D166">
        <v>4</v>
      </c>
      <c r="E166">
        <v>85000</v>
      </c>
      <c r="F166">
        <v>340000</v>
      </c>
    </row>
    <row r="167" spans="1:6" x14ac:dyDescent="0.25">
      <c r="A167" s="10" t="s">
        <v>33</v>
      </c>
      <c r="B167">
        <v>1034</v>
      </c>
      <c r="C167">
        <v>35</v>
      </c>
      <c r="D167">
        <v>4</v>
      </c>
      <c r="E167">
        <v>85000</v>
      </c>
      <c r="F167">
        <v>340000</v>
      </c>
    </row>
    <row r="168" spans="1:6" x14ac:dyDescent="0.25">
      <c r="A168" s="11" t="s">
        <v>28</v>
      </c>
      <c r="B168">
        <v>1034</v>
      </c>
      <c r="C168">
        <v>35</v>
      </c>
      <c r="D168">
        <v>4</v>
      </c>
      <c r="E168">
        <v>85000</v>
      </c>
      <c r="F168">
        <v>340000</v>
      </c>
    </row>
    <row r="169" spans="1:6" x14ac:dyDescent="0.25">
      <c r="A169" s="12" t="s">
        <v>42</v>
      </c>
      <c r="B169">
        <v>1034</v>
      </c>
      <c r="C169">
        <v>35</v>
      </c>
      <c r="D169">
        <v>4</v>
      </c>
      <c r="E169">
        <v>85000</v>
      </c>
      <c r="F169">
        <v>340000</v>
      </c>
    </row>
    <row r="170" spans="1:6" x14ac:dyDescent="0.25">
      <c r="A170" s="4" t="s">
        <v>98</v>
      </c>
      <c r="B170">
        <v>1035</v>
      </c>
      <c r="C170">
        <v>36</v>
      </c>
      <c r="D170">
        <v>5</v>
      </c>
      <c r="E170">
        <v>80000</v>
      </c>
      <c r="F170">
        <v>400000</v>
      </c>
    </row>
    <row r="171" spans="1:6" x14ac:dyDescent="0.25">
      <c r="A171" s="6" t="s">
        <v>13</v>
      </c>
      <c r="B171">
        <v>1035</v>
      </c>
      <c r="C171">
        <v>36</v>
      </c>
      <c r="D171">
        <v>5</v>
      </c>
      <c r="E171">
        <v>80000</v>
      </c>
      <c r="F171">
        <v>400000</v>
      </c>
    </row>
    <row r="172" spans="1:6" x14ac:dyDescent="0.25">
      <c r="A172" s="9" t="s">
        <v>36</v>
      </c>
      <c r="B172">
        <v>1035</v>
      </c>
      <c r="C172">
        <v>36</v>
      </c>
      <c r="D172">
        <v>5</v>
      </c>
      <c r="E172">
        <v>80000</v>
      </c>
      <c r="F172">
        <v>400000</v>
      </c>
    </row>
    <row r="173" spans="1:6" x14ac:dyDescent="0.25">
      <c r="A173" s="10" t="s">
        <v>37</v>
      </c>
      <c r="B173">
        <v>1035</v>
      </c>
      <c r="C173">
        <v>36</v>
      </c>
      <c r="D173">
        <v>5</v>
      </c>
      <c r="E173">
        <v>80000</v>
      </c>
      <c r="F173">
        <v>400000</v>
      </c>
    </row>
    <row r="174" spans="1:6" x14ac:dyDescent="0.25">
      <c r="A174" s="11" t="s">
        <v>16</v>
      </c>
      <c r="B174">
        <v>1035</v>
      </c>
      <c r="C174">
        <v>36</v>
      </c>
      <c r="D174">
        <v>5</v>
      </c>
      <c r="E174">
        <v>80000</v>
      </c>
      <c r="F174">
        <v>400000</v>
      </c>
    </row>
    <row r="175" spans="1:6" x14ac:dyDescent="0.25">
      <c r="A175" s="12" t="s">
        <v>45</v>
      </c>
      <c r="B175">
        <v>1035</v>
      </c>
      <c r="C175">
        <v>36</v>
      </c>
      <c r="D175">
        <v>5</v>
      </c>
      <c r="E175">
        <v>80000</v>
      </c>
      <c r="F175">
        <v>400000</v>
      </c>
    </row>
    <row r="176" spans="1:6" x14ac:dyDescent="0.25">
      <c r="A176" s="4" t="s">
        <v>99</v>
      </c>
      <c r="B176">
        <v>1036</v>
      </c>
      <c r="C176">
        <v>37</v>
      </c>
      <c r="D176">
        <v>6</v>
      </c>
      <c r="E176">
        <v>65000</v>
      </c>
      <c r="F176">
        <v>390000</v>
      </c>
    </row>
    <row r="177" spans="1:6" x14ac:dyDescent="0.25">
      <c r="A177" s="6" t="s">
        <v>20</v>
      </c>
      <c r="B177">
        <v>1036</v>
      </c>
      <c r="C177">
        <v>37</v>
      </c>
      <c r="D177">
        <v>6</v>
      </c>
      <c r="E177">
        <v>65000</v>
      </c>
      <c r="F177">
        <v>390000</v>
      </c>
    </row>
    <row r="178" spans="1:6" x14ac:dyDescent="0.25">
      <c r="A178" s="9" t="s">
        <v>40</v>
      </c>
      <c r="B178">
        <v>1036</v>
      </c>
      <c r="C178">
        <v>37</v>
      </c>
      <c r="D178">
        <v>6</v>
      </c>
      <c r="E178">
        <v>65000</v>
      </c>
      <c r="F178">
        <v>390000</v>
      </c>
    </row>
    <row r="179" spans="1:6" x14ac:dyDescent="0.25">
      <c r="A179" s="10" t="s">
        <v>41</v>
      </c>
      <c r="B179">
        <v>1036</v>
      </c>
      <c r="C179">
        <v>37</v>
      </c>
      <c r="D179">
        <v>6</v>
      </c>
      <c r="E179">
        <v>65000</v>
      </c>
      <c r="F179">
        <v>390000</v>
      </c>
    </row>
    <row r="180" spans="1:6" x14ac:dyDescent="0.25">
      <c r="A180" s="11" t="s">
        <v>16</v>
      </c>
      <c r="B180">
        <v>1036</v>
      </c>
      <c r="C180">
        <v>37</v>
      </c>
      <c r="D180">
        <v>6</v>
      </c>
      <c r="E180">
        <v>65000</v>
      </c>
      <c r="F180">
        <v>390000</v>
      </c>
    </row>
    <row r="181" spans="1:6" x14ac:dyDescent="0.25">
      <c r="A181" s="12" t="s">
        <v>49</v>
      </c>
      <c r="B181">
        <v>1036</v>
      </c>
      <c r="C181">
        <v>37</v>
      </c>
      <c r="D181">
        <v>6</v>
      </c>
      <c r="E181">
        <v>65000</v>
      </c>
      <c r="F181">
        <v>390000</v>
      </c>
    </row>
    <row r="182" spans="1:6" x14ac:dyDescent="0.25">
      <c r="A182" s="4" t="s">
        <v>100</v>
      </c>
      <c r="B182">
        <v>1037</v>
      </c>
      <c r="C182">
        <v>38</v>
      </c>
      <c r="D182">
        <v>7</v>
      </c>
      <c r="E182">
        <v>55000</v>
      </c>
      <c r="F182">
        <v>385000</v>
      </c>
    </row>
    <row r="183" spans="1:6" x14ac:dyDescent="0.25">
      <c r="A183" s="6" t="s">
        <v>13</v>
      </c>
      <c r="B183">
        <v>1037</v>
      </c>
      <c r="C183">
        <v>38</v>
      </c>
      <c r="D183">
        <v>7</v>
      </c>
      <c r="E183">
        <v>55000</v>
      </c>
      <c r="F183">
        <v>385000</v>
      </c>
    </row>
    <row r="184" spans="1:6" x14ac:dyDescent="0.25">
      <c r="A184" s="9" t="s">
        <v>14</v>
      </c>
      <c r="B184">
        <v>1037</v>
      </c>
      <c r="C184">
        <v>38</v>
      </c>
      <c r="D184">
        <v>7</v>
      </c>
      <c r="E184">
        <v>55000</v>
      </c>
      <c r="F184">
        <v>385000</v>
      </c>
    </row>
    <row r="185" spans="1:6" x14ac:dyDescent="0.25">
      <c r="A185" s="10" t="s">
        <v>44</v>
      </c>
      <c r="B185">
        <v>1037</v>
      </c>
      <c r="C185">
        <v>38</v>
      </c>
      <c r="D185">
        <v>7</v>
      </c>
      <c r="E185">
        <v>55000</v>
      </c>
      <c r="F185">
        <v>385000</v>
      </c>
    </row>
    <row r="186" spans="1:6" x14ac:dyDescent="0.25">
      <c r="A186" s="11" t="s">
        <v>28</v>
      </c>
      <c r="B186">
        <v>1037</v>
      </c>
      <c r="C186">
        <v>38</v>
      </c>
      <c r="D186">
        <v>7</v>
      </c>
      <c r="E186">
        <v>55000</v>
      </c>
      <c r="F186">
        <v>385000</v>
      </c>
    </row>
    <row r="187" spans="1:6" x14ac:dyDescent="0.25">
      <c r="A187" s="12" t="s">
        <v>52</v>
      </c>
      <c r="B187">
        <v>1037</v>
      </c>
      <c r="C187">
        <v>38</v>
      </c>
      <c r="D187">
        <v>7</v>
      </c>
      <c r="E187">
        <v>55000</v>
      </c>
      <c r="F187">
        <v>385000</v>
      </c>
    </row>
    <row r="188" spans="1:6" x14ac:dyDescent="0.25">
      <c r="A188" s="4" t="s">
        <v>101</v>
      </c>
      <c r="B188">
        <v>1038</v>
      </c>
      <c r="C188">
        <v>39</v>
      </c>
      <c r="D188">
        <v>8</v>
      </c>
      <c r="E188">
        <v>25000</v>
      </c>
      <c r="F188">
        <v>200000</v>
      </c>
    </row>
    <row r="189" spans="1:6" x14ac:dyDescent="0.25">
      <c r="A189" s="6" t="s">
        <v>20</v>
      </c>
      <c r="B189">
        <v>1038</v>
      </c>
      <c r="C189">
        <v>39</v>
      </c>
      <c r="D189">
        <v>8</v>
      </c>
      <c r="E189">
        <v>25000</v>
      </c>
      <c r="F189">
        <v>200000</v>
      </c>
    </row>
    <row r="190" spans="1:6" x14ac:dyDescent="0.25">
      <c r="A190" s="9" t="s">
        <v>21</v>
      </c>
      <c r="B190">
        <v>1038</v>
      </c>
      <c r="C190">
        <v>39</v>
      </c>
      <c r="D190">
        <v>8</v>
      </c>
      <c r="E190">
        <v>25000</v>
      </c>
      <c r="F190">
        <v>200000</v>
      </c>
    </row>
    <row r="191" spans="1:6" x14ac:dyDescent="0.25">
      <c r="A191" s="10" t="s">
        <v>47</v>
      </c>
      <c r="B191">
        <v>1038</v>
      </c>
      <c r="C191">
        <v>39</v>
      </c>
      <c r="D191">
        <v>8</v>
      </c>
      <c r="E191">
        <v>25000</v>
      </c>
      <c r="F191">
        <v>200000</v>
      </c>
    </row>
    <row r="192" spans="1:6" x14ac:dyDescent="0.25">
      <c r="A192" s="11" t="s">
        <v>48</v>
      </c>
      <c r="B192">
        <v>1038</v>
      </c>
      <c r="C192">
        <v>39</v>
      </c>
      <c r="D192">
        <v>8</v>
      </c>
      <c r="E192">
        <v>25000</v>
      </c>
      <c r="F192">
        <v>200000</v>
      </c>
    </row>
    <row r="193" spans="1:6" x14ac:dyDescent="0.25">
      <c r="A193" s="12" t="s">
        <v>55</v>
      </c>
      <c r="B193">
        <v>1038</v>
      </c>
      <c r="C193">
        <v>39</v>
      </c>
      <c r="D193">
        <v>8</v>
      </c>
      <c r="E193">
        <v>25000</v>
      </c>
      <c r="F193">
        <v>200000</v>
      </c>
    </row>
    <row r="194" spans="1:6" x14ac:dyDescent="0.25">
      <c r="A194" s="4" t="s">
        <v>102</v>
      </c>
      <c r="B194">
        <v>1039</v>
      </c>
      <c r="C194">
        <v>40</v>
      </c>
      <c r="D194">
        <v>9</v>
      </c>
      <c r="E194">
        <v>15000</v>
      </c>
      <c r="F194">
        <v>135000</v>
      </c>
    </row>
    <row r="195" spans="1:6" x14ac:dyDescent="0.25">
      <c r="A195" s="6" t="s">
        <v>13</v>
      </c>
      <c r="B195">
        <v>1039</v>
      </c>
      <c r="C195">
        <v>40</v>
      </c>
      <c r="D195">
        <v>9</v>
      </c>
      <c r="E195">
        <v>15000</v>
      </c>
      <c r="F195">
        <v>135000</v>
      </c>
    </row>
    <row r="196" spans="1:6" x14ac:dyDescent="0.25">
      <c r="A196" s="9" t="s">
        <v>26</v>
      </c>
      <c r="B196">
        <v>1039</v>
      </c>
      <c r="C196">
        <v>40</v>
      </c>
      <c r="D196">
        <v>9</v>
      </c>
      <c r="E196">
        <v>15000</v>
      </c>
      <c r="F196">
        <v>135000</v>
      </c>
    </row>
    <row r="197" spans="1:6" x14ac:dyDescent="0.25">
      <c r="A197" s="10" t="s">
        <v>51</v>
      </c>
      <c r="B197">
        <v>1039</v>
      </c>
      <c r="C197">
        <v>40</v>
      </c>
      <c r="D197">
        <v>9</v>
      </c>
      <c r="E197">
        <v>15000</v>
      </c>
      <c r="F197">
        <v>135000</v>
      </c>
    </row>
    <row r="198" spans="1:6" x14ac:dyDescent="0.25">
      <c r="A198" s="11" t="s">
        <v>48</v>
      </c>
      <c r="B198">
        <v>1039</v>
      </c>
      <c r="C198">
        <v>40</v>
      </c>
      <c r="D198">
        <v>9</v>
      </c>
      <c r="E198">
        <v>15000</v>
      </c>
      <c r="F198">
        <v>135000</v>
      </c>
    </row>
    <row r="199" spans="1:6" x14ac:dyDescent="0.25">
      <c r="A199" s="12" t="s">
        <v>57</v>
      </c>
      <c r="B199">
        <v>1039</v>
      </c>
      <c r="C199">
        <v>40</v>
      </c>
      <c r="D199">
        <v>9</v>
      </c>
      <c r="E199">
        <v>15000</v>
      </c>
      <c r="F199">
        <v>135000</v>
      </c>
    </row>
    <row r="200" spans="1:6" x14ac:dyDescent="0.25">
      <c r="A200" s="4" t="s">
        <v>31</v>
      </c>
      <c r="B200">
        <v>1004</v>
      </c>
      <c r="C200">
        <v>25</v>
      </c>
      <c r="D200">
        <v>4</v>
      </c>
      <c r="E200">
        <v>85000</v>
      </c>
      <c r="F200">
        <v>340000</v>
      </c>
    </row>
    <row r="201" spans="1:6" x14ac:dyDescent="0.25">
      <c r="A201" s="6" t="s">
        <v>20</v>
      </c>
      <c r="B201">
        <v>1004</v>
      </c>
      <c r="C201">
        <v>25</v>
      </c>
      <c r="D201">
        <v>4</v>
      </c>
      <c r="E201">
        <v>85000</v>
      </c>
      <c r="F201">
        <v>340000</v>
      </c>
    </row>
    <row r="202" spans="1:6" x14ac:dyDescent="0.25">
      <c r="A202" s="9" t="s">
        <v>32</v>
      </c>
      <c r="B202">
        <v>1004</v>
      </c>
      <c r="C202">
        <v>25</v>
      </c>
      <c r="D202">
        <v>4</v>
      </c>
      <c r="E202">
        <v>85000</v>
      </c>
      <c r="F202">
        <v>340000</v>
      </c>
    </row>
    <row r="203" spans="1:6" x14ac:dyDescent="0.25">
      <c r="A203" s="10" t="s">
        <v>33</v>
      </c>
      <c r="B203">
        <v>1004</v>
      </c>
      <c r="C203">
        <v>25</v>
      </c>
      <c r="D203">
        <v>4</v>
      </c>
      <c r="E203">
        <v>85000</v>
      </c>
      <c r="F203">
        <v>340000</v>
      </c>
    </row>
    <row r="204" spans="1:6" x14ac:dyDescent="0.25">
      <c r="A204" s="11" t="s">
        <v>28</v>
      </c>
      <c r="B204">
        <v>1004</v>
      </c>
      <c r="C204">
        <v>25</v>
      </c>
      <c r="D204">
        <v>4</v>
      </c>
      <c r="E204">
        <v>85000</v>
      </c>
      <c r="F204">
        <v>340000</v>
      </c>
    </row>
    <row r="205" spans="1:6" x14ac:dyDescent="0.25">
      <c r="A205" s="12" t="s">
        <v>34</v>
      </c>
      <c r="B205">
        <v>1004</v>
      </c>
      <c r="C205">
        <v>25</v>
      </c>
      <c r="D205">
        <v>4</v>
      </c>
      <c r="E205">
        <v>85000</v>
      </c>
      <c r="F205">
        <v>340000</v>
      </c>
    </row>
    <row r="206" spans="1:6" x14ac:dyDescent="0.25">
      <c r="A206" s="4" t="s">
        <v>103</v>
      </c>
      <c r="B206">
        <v>1040</v>
      </c>
      <c r="C206">
        <v>41</v>
      </c>
      <c r="D206">
        <v>10</v>
      </c>
      <c r="E206">
        <v>12000</v>
      </c>
      <c r="F206">
        <v>120000</v>
      </c>
    </row>
    <row r="207" spans="1:6" x14ac:dyDescent="0.25">
      <c r="A207" s="6" t="s">
        <v>20</v>
      </c>
      <c r="B207">
        <v>1040</v>
      </c>
      <c r="C207">
        <v>41</v>
      </c>
      <c r="D207">
        <v>10</v>
      </c>
      <c r="E207">
        <v>12000</v>
      </c>
      <c r="F207">
        <v>120000</v>
      </c>
    </row>
    <row r="208" spans="1:6" x14ac:dyDescent="0.25">
      <c r="A208" s="9" t="s">
        <v>32</v>
      </c>
      <c r="B208">
        <v>1040</v>
      </c>
      <c r="C208">
        <v>41</v>
      </c>
      <c r="D208">
        <v>10</v>
      </c>
      <c r="E208">
        <v>12000</v>
      </c>
      <c r="F208">
        <v>120000</v>
      </c>
    </row>
    <row r="209" spans="1:6" x14ac:dyDescent="0.25">
      <c r="A209" s="10" t="s">
        <v>54</v>
      </c>
      <c r="B209">
        <v>1040</v>
      </c>
      <c r="C209">
        <v>41</v>
      </c>
      <c r="D209">
        <v>10</v>
      </c>
      <c r="E209">
        <v>12000</v>
      </c>
      <c r="F209">
        <v>120000</v>
      </c>
    </row>
    <row r="210" spans="1:6" x14ac:dyDescent="0.25">
      <c r="A210" s="11" t="s">
        <v>48</v>
      </c>
      <c r="B210">
        <v>1040</v>
      </c>
      <c r="C210">
        <v>41</v>
      </c>
      <c r="D210">
        <v>10</v>
      </c>
      <c r="E210">
        <v>12000</v>
      </c>
      <c r="F210">
        <v>120000</v>
      </c>
    </row>
    <row r="211" spans="1:6" x14ac:dyDescent="0.25">
      <c r="A211" s="12" t="s">
        <v>59</v>
      </c>
      <c r="B211">
        <v>1040</v>
      </c>
      <c r="C211">
        <v>41</v>
      </c>
      <c r="D211">
        <v>10</v>
      </c>
      <c r="E211">
        <v>12000</v>
      </c>
      <c r="F211">
        <v>120000</v>
      </c>
    </row>
    <row r="212" spans="1:6" x14ac:dyDescent="0.25">
      <c r="A212" s="4" t="s">
        <v>104</v>
      </c>
      <c r="B212">
        <v>1041</v>
      </c>
      <c r="C212">
        <v>22</v>
      </c>
      <c r="D212">
        <v>1</v>
      </c>
      <c r="E212">
        <v>450000</v>
      </c>
      <c r="F212">
        <v>450000</v>
      </c>
    </row>
    <row r="213" spans="1:6" x14ac:dyDescent="0.25">
      <c r="A213" s="6" t="s">
        <v>13</v>
      </c>
      <c r="B213">
        <v>1041</v>
      </c>
      <c r="C213">
        <v>22</v>
      </c>
      <c r="D213">
        <v>1</v>
      </c>
      <c r="E213">
        <v>450000</v>
      </c>
      <c r="F213">
        <v>450000</v>
      </c>
    </row>
    <row r="214" spans="1:6" x14ac:dyDescent="0.25">
      <c r="A214" s="9" t="s">
        <v>36</v>
      </c>
      <c r="B214">
        <v>1041</v>
      </c>
      <c r="C214">
        <v>22</v>
      </c>
      <c r="D214">
        <v>1</v>
      </c>
      <c r="E214">
        <v>450000</v>
      </c>
      <c r="F214">
        <v>450000</v>
      </c>
    </row>
    <row r="215" spans="1:6" x14ac:dyDescent="0.25">
      <c r="A215" s="10" t="s">
        <v>15</v>
      </c>
      <c r="B215">
        <v>1041</v>
      </c>
      <c r="C215">
        <v>22</v>
      </c>
      <c r="D215">
        <v>1</v>
      </c>
      <c r="E215">
        <v>450000</v>
      </c>
      <c r="F215">
        <v>450000</v>
      </c>
    </row>
    <row r="216" spans="1:6" x14ac:dyDescent="0.25">
      <c r="A216" s="11" t="s">
        <v>16</v>
      </c>
      <c r="B216">
        <v>1041</v>
      </c>
      <c r="C216">
        <v>22</v>
      </c>
      <c r="D216">
        <v>1</v>
      </c>
      <c r="E216">
        <v>450000</v>
      </c>
      <c r="F216">
        <v>450000</v>
      </c>
    </row>
    <row r="217" spans="1:6" x14ac:dyDescent="0.25">
      <c r="A217" s="12" t="s">
        <v>61</v>
      </c>
      <c r="B217">
        <v>1041</v>
      </c>
      <c r="C217">
        <v>22</v>
      </c>
      <c r="D217">
        <v>1</v>
      </c>
      <c r="E217">
        <v>450000</v>
      </c>
      <c r="F217">
        <v>450000</v>
      </c>
    </row>
    <row r="218" spans="1:6" x14ac:dyDescent="0.25">
      <c r="A218" s="4" t="s">
        <v>105</v>
      </c>
      <c r="B218">
        <v>1042</v>
      </c>
      <c r="C218">
        <v>23</v>
      </c>
      <c r="D218">
        <v>2</v>
      </c>
      <c r="E218">
        <v>180000</v>
      </c>
      <c r="F218">
        <v>360000</v>
      </c>
    </row>
    <row r="219" spans="1:6" x14ac:dyDescent="0.25">
      <c r="A219" s="6" t="s">
        <v>20</v>
      </c>
      <c r="B219">
        <v>1042</v>
      </c>
      <c r="C219">
        <v>23</v>
      </c>
      <c r="D219">
        <v>2</v>
      </c>
      <c r="E219">
        <v>180000</v>
      </c>
      <c r="F219">
        <v>360000</v>
      </c>
    </row>
    <row r="220" spans="1:6" x14ac:dyDescent="0.25">
      <c r="A220" s="9" t="s">
        <v>40</v>
      </c>
      <c r="B220">
        <v>1042</v>
      </c>
      <c r="C220">
        <v>23</v>
      </c>
      <c r="D220">
        <v>2</v>
      </c>
      <c r="E220">
        <v>180000</v>
      </c>
      <c r="F220">
        <v>360000</v>
      </c>
    </row>
    <row r="221" spans="1:6" x14ac:dyDescent="0.25">
      <c r="A221" s="10" t="s">
        <v>22</v>
      </c>
      <c r="B221">
        <v>1042</v>
      </c>
      <c r="C221">
        <v>23</v>
      </c>
      <c r="D221">
        <v>2</v>
      </c>
      <c r="E221">
        <v>180000</v>
      </c>
      <c r="F221">
        <v>360000</v>
      </c>
    </row>
    <row r="222" spans="1:6" x14ac:dyDescent="0.25">
      <c r="A222" s="11" t="s">
        <v>16</v>
      </c>
      <c r="B222">
        <v>1042</v>
      </c>
      <c r="C222">
        <v>23</v>
      </c>
      <c r="D222">
        <v>2</v>
      </c>
      <c r="E222">
        <v>180000</v>
      </c>
      <c r="F222">
        <v>360000</v>
      </c>
    </row>
    <row r="223" spans="1:6" x14ac:dyDescent="0.25">
      <c r="A223" s="12" t="s">
        <v>63</v>
      </c>
      <c r="B223">
        <v>1042</v>
      </c>
      <c r="C223">
        <v>23</v>
      </c>
      <c r="D223">
        <v>2</v>
      </c>
      <c r="E223">
        <v>180000</v>
      </c>
      <c r="F223">
        <v>360000</v>
      </c>
    </row>
    <row r="224" spans="1:6" x14ac:dyDescent="0.25">
      <c r="A224" s="4" t="s">
        <v>106</v>
      </c>
      <c r="B224">
        <v>1043</v>
      </c>
      <c r="C224">
        <v>24</v>
      </c>
      <c r="D224">
        <v>3</v>
      </c>
      <c r="E224">
        <v>120000</v>
      </c>
      <c r="F224">
        <v>360000</v>
      </c>
    </row>
    <row r="225" spans="1:6" x14ac:dyDescent="0.25">
      <c r="A225" s="6" t="s">
        <v>13</v>
      </c>
      <c r="B225">
        <v>1043</v>
      </c>
      <c r="C225">
        <v>24</v>
      </c>
      <c r="D225">
        <v>3</v>
      </c>
      <c r="E225">
        <v>120000</v>
      </c>
      <c r="F225">
        <v>360000</v>
      </c>
    </row>
    <row r="226" spans="1:6" x14ac:dyDescent="0.25">
      <c r="A226" s="9" t="s">
        <v>14</v>
      </c>
      <c r="B226">
        <v>1043</v>
      </c>
      <c r="C226">
        <v>24</v>
      </c>
      <c r="D226">
        <v>3</v>
      </c>
      <c r="E226">
        <v>120000</v>
      </c>
      <c r="F226">
        <v>360000</v>
      </c>
    </row>
    <row r="227" spans="1:6" x14ac:dyDescent="0.25">
      <c r="A227" s="10" t="s">
        <v>27</v>
      </c>
      <c r="B227">
        <v>1043</v>
      </c>
      <c r="C227">
        <v>24</v>
      </c>
      <c r="D227">
        <v>3</v>
      </c>
      <c r="E227">
        <v>120000</v>
      </c>
      <c r="F227">
        <v>360000</v>
      </c>
    </row>
    <row r="228" spans="1:6" x14ac:dyDescent="0.25">
      <c r="A228" s="11" t="s">
        <v>28</v>
      </c>
      <c r="B228">
        <v>1043</v>
      </c>
      <c r="C228">
        <v>24</v>
      </c>
      <c r="D228">
        <v>3</v>
      </c>
      <c r="E228">
        <v>120000</v>
      </c>
      <c r="F228">
        <v>360000</v>
      </c>
    </row>
    <row r="229" spans="1:6" x14ac:dyDescent="0.25">
      <c r="A229" s="12" t="s">
        <v>65</v>
      </c>
      <c r="B229">
        <v>1043</v>
      </c>
      <c r="C229">
        <v>24</v>
      </c>
      <c r="D229">
        <v>3</v>
      </c>
      <c r="E229">
        <v>120000</v>
      </c>
      <c r="F229">
        <v>360000</v>
      </c>
    </row>
    <row r="230" spans="1:6" x14ac:dyDescent="0.25">
      <c r="A230" s="4" t="s">
        <v>107</v>
      </c>
      <c r="B230">
        <v>1044</v>
      </c>
      <c r="C230">
        <v>25</v>
      </c>
      <c r="D230">
        <v>4</v>
      </c>
      <c r="E230">
        <v>85000</v>
      </c>
      <c r="F230">
        <v>340000</v>
      </c>
    </row>
    <row r="231" spans="1:6" x14ac:dyDescent="0.25">
      <c r="A231" s="6" t="s">
        <v>20</v>
      </c>
      <c r="B231">
        <v>1044</v>
      </c>
      <c r="C231">
        <v>25</v>
      </c>
      <c r="D231">
        <v>4</v>
      </c>
      <c r="E231">
        <v>85000</v>
      </c>
      <c r="F231">
        <v>340000</v>
      </c>
    </row>
    <row r="232" spans="1:6" x14ac:dyDescent="0.25">
      <c r="A232" s="9" t="s">
        <v>21</v>
      </c>
      <c r="B232">
        <v>1044</v>
      </c>
      <c r="C232">
        <v>25</v>
      </c>
      <c r="D232">
        <v>4</v>
      </c>
      <c r="E232">
        <v>85000</v>
      </c>
      <c r="F232">
        <v>340000</v>
      </c>
    </row>
    <row r="233" spans="1:6" x14ac:dyDescent="0.25">
      <c r="A233" s="10" t="s">
        <v>33</v>
      </c>
      <c r="B233">
        <v>1044</v>
      </c>
      <c r="C233">
        <v>25</v>
      </c>
      <c r="D233">
        <v>4</v>
      </c>
      <c r="E233">
        <v>85000</v>
      </c>
      <c r="F233">
        <v>340000</v>
      </c>
    </row>
    <row r="234" spans="1:6" x14ac:dyDescent="0.25">
      <c r="A234" s="11" t="s">
        <v>28</v>
      </c>
      <c r="B234">
        <v>1044</v>
      </c>
      <c r="C234">
        <v>25</v>
      </c>
      <c r="D234">
        <v>4</v>
      </c>
      <c r="E234">
        <v>85000</v>
      </c>
      <c r="F234">
        <v>340000</v>
      </c>
    </row>
    <row r="235" spans="1:6" x14ac:dyDescent="0.25">
      <c r="A235" s="12" t="s">
        <v>67</v>
      </c>
      <c r="B235">
        <v>1044</v>
      </c>
      <c r="C235">
        <v>25</v>
      </c>
      <c r="D235">
        <v>4</v>
      </c>
      <c r="E235">
        <v>85000</v>
      </c>
      <c r="F235">
        <v>340000</v>
      </c>
    </row>
    <row r="236" spans="1:6" x14ac:dyDescent="0.25">
      <c r="A236" s="4" t="s">
        <v>108</v>
      </c>
      <c r="B236">
        <v>1045</v>
      </c>
      <c r="C236">
        <v>26</v>
      </c>
      <c r="D236">
        <v>5</v>
      </c>
      <c r="E236">
        <v>80000</v>
      </c>
      <c r="F236">
        <v>400000</v>
      </c>
    </row>
    <row r="237" spans="1:6" x14ac:dyDescent="0.25">
      <c r="A237" s="6" t="s">
        <v>13</v>
      </c>
      <c r="B237">
        <v>1045</v>
      </c>
      <c r="C237">
        <v>26</v>
      </c>
      <c r="D237">
        <v>5</v>
      </c>
      <c r="E237">
        <v>80000</v>
      </c>
      <c r="F237">
        <v>400000</v>
      </c>
    </row>
    <row r="238" spans="1:6" x14ac:dyDescent="0.25">
      <c r="A238" s="9" t="s">
        <v>26</v>
      </c>
      <c r="B238">
        <v>1045</v>
      </c>
      <c r="C238">
        <v>26</v>
      </c>
      <c r="D238">
        <v>5</v>
      </c>
      <c r="E238">
        <v>80000</v>
      </c>
      <c r="F238">
        <v>400000</v>
      </c>
    </row>
    <row r="239" spans="1:6" x14ac:dyDescent="0.25">
      <c r="A239" s="10" t="s">
        <v>37</v>
      </c>
      <c r="B239">
        <v>1045</v>
      </c>
      <c r="C239">
        <v>26</v>
      </c>
      <c r="D239">
        <v>5</v>
      </c>
      <c r="E239">
        <v>80000</v>
      </c>
      <c r="F239">
        <v>400000</v>
      </c>
    </row>
    <row r="240" spans="1:6" x14ac:dyDescent="0.25">
      <c r="A240" s="11" t="s">
        <v>16</v>
      </c>
      <c r="B240">
        <v>1045</v>
      </c>
      <c r="C240">
        <v>26</v>
      </c>
      <c r="D240">
        <v>5</v>
      </c>
      <c r="E240">
        <v>80000</v>
      </c>
      <c r="F240">
        <v>400000</v>
      </c>
    </row>
    <row r="241" spans="1:6" x14ac:dyDescent="0.25">
      <c r="A241" s="12" t="s">
        <v>69</v>
      </c>
      <c r="B241">
        <v>1045</v>
      </c>
      <c r="C241">
        <v>26</v>
      </c>
      <c r="D241">
        <v>5</v>
      </c>
      <c r="E241">
        <v>80000</v>
      </c>
      <c r="F241">
        <v>400000</v>
      </c>
    </row>
    <row r="242" spans="1:6" x14ac:dyDescent="0.25">
      <c r="A242" s="4" t="s">
        <v>109</v>
      </c>
      <c r="B242">
        <v>1046</v>
      </c>
      <c r="C242">
        <v>27</v>
      </c>
      <c r="D242">
        <v>6</v>
      </c>
      <c r="E242">
        <v>65000</v>
      </c>
      <c r="F242">
        <v>390000</v>
      </c>
    </row>
    <row r="243" spans="1:6" x14ac:dyDescent="0.25">
      <c r="A243" s="6" t="s">
        <v>20</v>
      </c>
      <c r="B243">
        <v>1046</v>
      </c>
      <c r="C243">
        <v>27</v>
      </c>
      <c r="D243">
        <v>6</v>
      </c>
      <c r="E243">
        <v>65000</v>
      </c>
      <c r="F243">
        <v>390000</v>
      </c>
    </row>
    <row r="244" spans="1:6" x14ac:dyDescent="0.25">
      <c r="A244" s="9" t="s">
        <v>32</v>
      </c>
      <c r="B244">
        <v>1046</v>
      </c>
      <c r="C244">
        <v>27</v>
      </c>
      <c r="D244">
        <v>6</v>
      </c>
      <c r="E244">
        <v>65000</v>
      </c>
      <c r="F244">
        <v>390000</v>
      </c>
    </row>
    <row r="245" spans="1:6" x14ac:dyDescent="0.25">
      <c r="A245" s="10" t="s">
        <v>41</v>
      </c>
      <c r="B245">
        <v>1046</v>
      </c>
      <c r="C245">
        <v>27</v>
      </c>
      <c r="D245">
        <v>6</v>
      </c>
      <c r="E245">
        <v>65000</v>
      </c>
      <c r="F245">
        <v>390000</v>
      </c>
    </row>
    <row r="246" spans="1:6" x14ac:dyDescent="0.25">
      <c r="A246" s="11" t="s">
        <v>16</v>
      </c>
      <c r="B246">
        <v>1046</v>
      </c>
      <c r="C246">
        <v>27</v>
      </c>
      <c r="D246">
        <v>6</v>
      </c>
      <c r="E246">
        <v>65000</v>
      </c>
      <c r="F246">
        <v>390000</v>
      </c>
    </row>
    <row r="247" spans="1:6" x14ac:dyDescent="0.25">
      <c r="A247" s="12" t="s">
        <v>71</v>
      </c>
      <c r="B247">
        <v>1046</v>
      </c>
      <c r="C247">
        <v>27</v>
      </c>
      <c r="D247">
        <v>6</v>
      </c>
      <c r="E247">
        <v>65000</v>
      </c>
      <c r="F247">
        <v>390000</v>
      </c>
    </row>
    <row r="248" spans="1:6" x14ac:dyDescent="0.25">
      <c r="A248" s="4" t="s">
        <v>110</v>
      </c>
      <c r="B248">
        <v>1047</v>
      </c>
      <c r="C248">
        <v>28</v>
      </c>
      <c r="D248">
        <v>7</v>
      </c>
      <c r="E248">
        <v>55000</v>
      </c>
      <c r="F248">
        <v>385000</v>
      </c>
    </row>
    <row r="249" spans="1:6" x14ac:dyDescent="0.25">
      <c r="A249" s="6" t="s">
        <v>13</v>
      </c>
      <c r="B249">
        <v>1047</v>
      </c>
      <c r="C249">
        <v>28</v>
      </c>
      <c r="D249">
        <v>7</v>
      </c>
      <c r="E249">
        <v>55000</v>
      </c>
      <c r="F249">
        <v>385000</v>
      </c>
    </row>
    <row r="250" spans="1:6" x14ac:dyDescent="0.25">
      <c r="A250" s="9" t="s">
        <v>36</v>
      </c>
      <c r="B250">
        <v>1047</v>
      </c>
      <c r="C250">
        <v>28</v>
      </c>
      <c r="D250">
        <v>7</v>
      </c>
      <c r="E250">
        <v>55000</v>
      </c>
      <c r="F250">
        <v>385000</v>
      </c>
    </row>
    <row r="251" spans="1:6" x14ac:dyDescent="0.25">
      <c r="A251" s="10" t="s">
        <v>44</v>
      </c>
      <c r="B251">
        <v>1047</v>
      </c>
      <c r="C251">
        <v>28</v>
      </c>
      <c r="D251">
        <v>7</v>
      </c>
      <c r="E251">
        <v>55000</v>
      </c>
      <c r="F251">
        <v>385000</v>
      </c>
    </row>
    <row r="252" spans="1:6" x14ac:dyDescent="0.25">
      <c r="A252" s="11" t="s">
        <v>28</v>
      </c>
      <c r="B252">
        <v>1047</v>
      </c>
      <c r="C252">
        <v>28</v>
      </c>
      <c r="D252">
        <v>7</v>
      </c>
      <c r="E252">
        <v>55000</v>
      </c>
      <c r="F252">
        <v>385000</v>
      </c>
    </row>
    <row r="253" spans="1:6" x14ac:dyDescent="0.25">
      <c r="A253" s="12" t="s">
        <v>73</v>
      </c>
      <c r="B253">
        <v>1047</v>
      </c>
      <c r="C253">
        <v>28</v>
      </c>
      <c r="D253">
        <v>7</v>
      </c>
      <c r="E253">
        <v>55000</v>
      </c>
      <c r="F253">
        <v>385000</v>
      </c>
    </row>
    <row r="254" spans="1:6" x14ac:dyDescent="0.25">
      <c r="A254" s="4" t="s">
        <v>111</v>
      </c>
      <c r="B254">
        <v>1048</v>
      </c>
      <c r="C254">
        <v>29</v>
      </c>
      <c r="D254">
        <v>8</v>
      </c>
      <c r="E254">
        <v>25000</v>
      </c>
      <c r="F254">
        <v>200000</v>
      </c>
    </row>
    <row r="255" spans="1:6" x14ac:dyDescent="0.25">
      <c r="A255" s="6" t="s">
        <v>20</v>
      </c>
      <c r="B255">
        <v>1048</v>
      </c>
      <c r="C255">
        <v>29</v>
      </c>
      <c r="D255">
        <v>8</v>
      </c>
      <c r="E255">
        <v>25000</v>
      </c>
      <c r="F255">
        <v>200000</v>
      </c>
    </row>
    <row r="256" spans="1:6" x14ac:dyDescent="0.25">
      <c r="A256" s="9" t="s">
        <v>40</v>
      </c>
      <c r="B256">
        <v>1048</v>
      </c>
      <c r="C256">
        <v>29</v>
      </c>
      <c r="D256">
        <v>8</v>
      </c>
      <c r="E256">
        <v>25000</v>
      </c>
      <c r="F256">
        <v>200000</v>
      </c>
    </row>
    <row r="257" spans="1:6" x14ac:dyDescent="0.25">
      <c r="A257" s="10" t="s">
        <v>47</v>
      </c>
      <c r="B257">
        <v>1048</v>
      </c>
      <c r="C257">
        <v>29</v>
      </c>
      <c r="D257">
        <v>8</v>
      </c>
      <c r="E257">
        <v>25000</v>
      </c>
      <c r="F257">
        <v>200000</v>
      </c>
    </row>
    <row r="258" spans="1:6" x14ac:dyDescent="0.25">
      <c r="A258" s="11" t="s">
        <v>48</v>
      </c>
      <c r="B258">
        <v>1048</v>
      </c>
      <c r="C258">
        <v>29</v>
      </c>
      <c r="D258">
        <v>8</v>
      </c>
      <c r="E258">
        <v>25000</v>
      </c>
      <c r="F258">
        <v>200000</v>
      </c>
    </row>
    <row r="259" spans="1:6" x14ac:dyDescent="0.25">
      <c r="A259" s="12" t="s">
        <v>75</v>
      </c>
      <c r="B259">
        <v>1048</v>
      </c>
      <c r="C259">
        <v>29</v>
      </c>
      <c r="D259">
        <v>8</v>
      </c>
      <c r="E259">
        <v>25000</v>
      </c>
      <c r="F259">
        <v>200000</v>
      </c>
    </row>
    <row r="260" spans="1:6" x14ac:dyDescent="0.25">
      <c r="A260" s="4" t="s">
        <v>112</v>
      </c>
      <c r="B260">
        <v>1049</v>
      </c>
      <c r="C260">
        <v>30</v>
      </c>
      <c r="D260">
        <v>9</v>
      </c>
      <c r="E260">
        <v>15000</v>
      </c>
      <c r="F260">
        <v>135000</v>
      </c>
    </row>
    <row r="261" spans="1:6" x14ac:dyDescent="0.25">
      <c r="A261" s="6" t="s">
        <v>13</v>
      </c>
      <c r="B261">
        <v>1049</v>
      </c>
      <c r="C261">
        <v>30</v>
      </c>
      <c r="D261">
        <v>9</v>
      </c>
      <c r="E261">
        <v>15000</v>
      </c>
      <c r="F261">
        <v>135000</v>
      </c>
    </row>
    <row r="262" spans="1:6" x14ac:dyDescent="0.25">
      <c r="A262" s="9" t="s">
        <v>14</v>
      </c>
      <c r="B262">
        <v>1049</v>
      </c>
      <c r="C262">
        <v>30</v>
      </c>
      <c r="D262">
        <v>9</v>
      </c>
      <c r="E262">
        <v>15000</v>
      </c>
      <c r="F262">
        <v>135000</v>
      </c>
    </row>
    <row r="263" spans="1:6" x14ac:dyDescent="0.25">
      <c r="A263" s="10" t="s">
        <v>51</v>
      </c>
      <c r="B263">
        <v>1049</v>
      </c>
      <c r="C263">
        <v>30</v>
      </c>
      <c r="D263">
        <v>9</v>
      </c>
      <c r="E263">
        <v>15000</v>
      </c>
      <c r="F263">
        <v>135000</v>
      </c>
    </row>
    <row r="264" spans="1:6" x14ac:dyDescent="0.25">
      <c r="A264" s="11" t="s">
        <v>48</v>
      </c>
      <c r="B264">
        <v>1049</v>
      </c>
      <c r="C264">
        <v>30</v>
      </c>
      <c r="D264">
        <v>9</v>
      </c>
      <c r="E264">
        <v>15000</v>
      </c>
      <c r="F264">
        <v>135000</v>
      </c>
    </row>
    <row r="265" spans="1:6" x14ac:dyDescent="0.25">
      <c r="A265" s="12" t="s">
        <v>77</v>
      </c>
      <c r="B265">
        <v>1049</v>
      </c>
      <c r="C265">
        <v>30</v>
      </c>
      <c r="D265">
        <v>9</v>
      </c>
      <c r="E265">
        <v>15000</v>
      </c>
      <c r="F265">
        <v>135000</v>
      </c>
    </row>
    <row r="266" spans="1:6" x14ac:dyDescent="0.25">
      <c r="A266" s="4" t="s">
        <v>35</v>
      </c>
      <c r="B266">
        <v>1005</v>
      </c>
      <c r="C266">
        <v>26</v>
      </c>
      <c r="D266">
        <v>5</v>
      </c>
      <c r="E266">
        <v>80000</v>
      </c>
      <c r="F266">
        <v>400000</v>
      </c>
    </row>
    <row r="267" spans="1:6" x14ac:dyDescent="0.25">
      <c r="A267" s="6" t="s">
        <v>13</v>
      </c>
      <c r="B267">
        <v>1005</v>
      </c>
      <c r="C267">
        <v>26</v>
      </c>
      <c r="D267">
        <v>5</v>
      </c>
      <c r="E267">
        <v>80000</v>
      </c>
      <c r="F267">
        <v>400000</v>
      </c>
    </row>
    <row r="268" spans="1:6" x14ac:dyDescent="0.25">
      <c r="A268" s="9" t="s">
        <v>36</v>
      </c>
      <c r="B268">
        <v>1005</v>
      </c>
      <c r="C268">
        <v>26</v>
      </c>
      <c r="D268">
        <v>5</v>
      </c>
      <c r="E268">
        <v>80000</v>
      </c>
      <c r="F268">
        <v>400000</v>
      </c>
    </row>
    <row r="269" spans="1:6" x14ac:dyDescent="0.25">
      <c r="A269" s="10" t="s">
        <v>37</v>
      </c>
      <c r="B269">
        <v>1005</v>
      </c>
      <c r="C269">
        <v>26</v>
      </c>
      <c r="D269">
        <v>5</v>
      </c>
      <c r="E269">
        <v>80000</v>
      </c>
      <c r="F269">
        <v>400000</v>
      </c>
    </row>
    <row r="270" spans="1:6" x14ac:dyDescent="0.25">
      <c r="A270" s="11" t="s">
        <v>16</v>
      </c>
      <c r="B270">
        <v>1005</v>
      </c>
      <c r="C270">
        <v>26</v>
      </c>
      <c r="D270">
        <v>5</v>
      </c>
      <c r="E270">
        <v>80000</v>
      </c>
      <c r="F270">
        <v>400000</v>
      </c>
    </row>
    <row r="271" spans="1:6" x14ac:dyDescent="0.25">
      <c r="A271" s="12" t="s">
        <v>38</v>
      </c>
      <c r="B271">
        <v>1005</v>
      </c>
      <c r="C271">
        <v>26</v>
      </c>
      <c r="D271">
        <v>5</v>
      </c>
      <c r="E271">
        <v>80000</v>
      </c>
      <c r="F271">
        <v>400000</v>
      </c>
    </row>
    <row r="272" spans="1:6" x14ac:dyDescent="0.25">
      <c r="A272" s="4" t="s">
        <v>113</v>
      </c>
      <c r="B272">
        <v>1050</v>
      </c>
      <c r="C272">
        <v>31</v>
      </c>
      <c r="D272">
        <v>10</v>
      </c>
      <c r="E272">
        <v>12000</v>
      </c>
      <c r="F272">
        <v>120000</v>
      </c>
    </row>
    <row r="273" spans="1:6" x14ac:dyDescent="0.25">
      <c r="A273" s="6" t="s">
        <v>20</v>
      </c>
      <c r="B273">
        <v>1050</v>
      </c>
      <c r="C273">
        <v>31</v>
      </c>
      <c r="D273">
        <v>10</v>
      </c>
      <c r="E273">
        <v>12000</v>
      </c>
      <c r="F273">
        <v>120000</v>
      </c>
    </row>
    <row r="274" spans="1:6" x14ac:dyDescent="0.25">
      <c r="A274" s="9" t="s">
        <v>21</v>
      </c>
      <c r="B274">
        <v>1050</v>
      </c>
      <c r="C274">
        <v>31</v>
      </c>
      <c r="D274">
        <v>10</v>
      </c>
      <c r="E274">
        <v>12000</v>
      </c>
      <c r="F274">
        <v>120000</v>
      </c>
    </row>
    <row r="275" spans="1:6" x14ac:dyDescent="0.25">
      <c r="A275" s="10" t="s">
        <v>54</v>
      </c>
      <c r="B275">
        <v>1050</v>
      </c>
      <c r="C275">
        <v>31</v>
      </c>
      <c r="D275">
        <v>10</v>
      </c>
      <c r="E275">
        <v>12000</v>
      </c>
      <c r="F275">
        <v>120000</v>
      </c>
    </row>
    <row r="276" spans="1:6" x14ac:dyDescent="0.25">
      <c r="A276" s="11" t="s">
        <v>48</v>
      </c>
      <c r="B276">
        <v>1050</v>
      </c>
      <c r="C276">
        <v>31</v>
      </c>
      <c r="D276">
        <v>10</v>
      </c>
      <c r="E276">
        <v>12000</v>
      </c>
      <c r="F276">
        <v>120000</v>
      </c>
    </row>
    <row r="277" spans="1:6" x14ac:dyDescent="0.25">
      <c r="A277" s="12" t="s">
        <v>79</v>
      </c>
      <c r="B277">
        <v>1050</v>
      </c>
      <c r="C277">
        <v>31</v>
      </c>
      <c r="D277">
        <v>10</v>
      </c>
      <c r="E277">
        <v>12000</v>
      </c>
      <c r="F277">
        <v>120000</v>
      </c>
    </row>
    <row r="278" spans="1:6" x14ac:dyDescent="0.25">
      <c r="A278" s="4" t="s">
        <v>39</v>
      </c>
      <c r="B278">
        <v>1006</v>
      </c>
      <c r="C278">
        <v>27</v>
      </c>
      <c r="D278">
        <v>6</v>
      </c>
      <c r="E278">
        <v>65000</v>
      </c>
      <c r="F278">
        <v>390000</v>
      </c>
    </row>
    <row r="279" spans="1:6" x14ac:dyDescent="0.25">
      <c r="A279" s="6" t="s">
        <v>20</v>
      </c>
      <c r="B279">
        <v>1006</v>
      </c>
      <c r="C279">
        <v>27</v>
      </c>
      <c r="D279">
        <v>6</v>
      </c>
      <c r="E279">
        <v>65000</v>
      </c>
      <c r="F279">
        <v>390000</v>
      </c>
    </row>
    <row r="280" spans="1:6" x14ac:dyDescent="0.25">
      <c r="A280" s="9" t="s">
        <v>40</v>
      </c>
      <c r="B280">
        <v>1006</v>
      </c>
      <c r="C280">
        <v>27</v>
      </c>
      <c r="D280">
        <v>6</v>
      </c>
      <c r="E280">
        <v>65000</v>
      </c>
      <c r="F280">
        <v>390000</v>
      </c>
    </row>
    <row r="281" spans="1:6" x14ac:dyDescent="0.25">
      <c r="A281" s="10" t="s">
        <v>41</v>
      </c>
      <c r="B281">
        <v>1006</v>
      </c>
      <c r="C281">
        <v>27</v>
      </c>
      <c r="D281">
        <v>6</v>
      </c>
      <c r="E281">
        <v>65000</v>
      </c>
      <c r="F281">
        <v>390000</v>
      </c>
    </row>
    <row r="282" spans="1:6" x14ac:dyDescent="0.25">
      <c r="A282" s="11" t="s">
        <v>16</v>
      </c>
      <c r="B282">
        <v>1006</v>
      </c>
      <c r="C282">
        <v>27</v>
      </c>
      <c r="D282">
        <v>6</v>
      </c>
      <c r="E282">
        <v>65000</v>
      </c>
      <c r="F282">
        <v>390000</v>
      </c>
    </row>
    <row r="283" spans="1:6" x14ac:dyDescent="0.25">
      <c r="A283" s="12" t="s">
        <v>42</v>
      </c>
      <c r="B283">
        <v>1006</v>
      </c>
      <c r="C283">
        <v>27</v>
      </c>
      <c r="D283">
        <v>6</v>
      </c>
      <c r="E283">
        <v>65000</v>
      </c>
      <c r="F283">
        <v>390000</v>
      </c>
    </row>
    <row r="284" spans="1:6" x14ac:dyDescent="0.25">
      <c r="A284" s="4" t="s">
        <v>43</v>
      </c>
      <c r="B284">
        <v>1007</v>
      </c>
      <c r="C284">
        <v>28</v>
      </c>
      <c r="D284">
        <v>7</v>
      </c>
      <c r="E284">
        <v>55000</v>
      </c>
      <c r="F284">
        <v>385000</v>
      </c>
    </row>
    <row r="285" spans="1:6" x14ac:dyDescent="0.25">
      <c r="A285" s="6" t="s">
        <v>13</v>
      </c>
      <c r="B285">
        <v>1007</v>
      </c>
      <c r="C285">
        <v>28</v>
      </c>
      <c r="D285">
        <v>7</v>
      </c>
      <c r="E285">
        <v>55000</v>
      </c>
      <c r="F285">
        <v>385000</v>
      </c>
    </row>
    <row r="286" spans="1:6" x14ac:dyDescent="0.25">
      <c r="A286" s="9" t="s">
        <v>14</v>
      </c>
      <c r="B286">
        <v>1007</v>
      </c>
      <c r="C286">
        <v>28</v>
      </c>
      <c r="D286">
        <v>7</v>
      </c>
      <c r="E286">
        <v>55000</v>
      </c>
      <c r="F286">
        <v>385000</v>
      </c>
    </row>
    <row r="287" spans="1:6" x14ac:dyDescent="0.25">
      <c r="A287" s="10" t="s">
        <v>44</v>
      </c>
      <c r="B287">
        <v>1007</v>
      </c>
      <c r="C287">
        <v>28</v>
      </c>
      <c r="D287">
        <v>7</v>
      </c>
      <c r="E287">
        <v>55000</v>
      </c>
      <c r="F287">
        <v>385000</v>
      </c>
    </row>
    <row r="288" spans="1:6" x14ac:dyDescent="0.25">
      <c r="A288" s="11" t="s">
        <v>28</v>
      </c>
      <c r="B288">
        <v>1007</v>
      </c>
      <c r="C288">
        <v>28</v>
      </c>
      <c r="D288">
        <v>7</v>
      </c>
      <c r="E288">
        <v>55000</v>
      </c>
      <c r="F288">
        <v>385000</v>
      </c>
    </row>
    <row r="289" spans="1:6" x14ac:dyDescent="0.25">
      <c r="A289" s="12" t="s">
        <v>45</v>
      </c>
      <c r="B289">
        <v>1007</v>
      </c>
      <c r="C289">
        <v>28</v>
      </c>
      <c r="D289">
        <v>7</v>
      </c>
      <c r="E289">
        <v>55000</v>
      </c>
      <c r="F289">
        <v>385000</v>
      </c>
    </row>
    <row r="290" spans="1:6" x14ac:dyDescent="0.25">
      <c r="A290" s="4" t="s">
        <v>46</v>
      </c>
      <c r="B290">
        <v>1008</v>
      </c>
      <c r="C290">
        <v>29</v>
      </c>
      <c r="D290">
        <v>8</v>
      </c>
      <c r="E290">
        <v>25000</v>
      </c>
      <c r="F290">
        <v>200000</v>
      </c>
    </row>
    <row r="291" spans="1:6" x14ac:dyDescent="0.25">
      <c r="A291" s="6" t="s">
        <v>20</v>
      </c>
      <c r="B291">
        <v>1008</v>
      </c>
      <c r="C291">
        <v>29</v>
      </c>
      <c r="D291">
        <v>8</v>
      </c>
      <c r="E291">
        <v>25000</v>
      </c>
      <c r="F291">
        <v>200000</v>
      </c>
    </row>
    <row r="292" spans="1:6" x14ac:dyDescent="0.25">
      <c r="A292" s="9" t="s">
        <v>21</v>
      </c>
      <c r="B292">
        <v>1008</v>
      </c>
      <c r="C292">
        <v>29</v>
      </c>
      <c r="D292">
        <v>8</v>
      </c>
      <c r="E292">
        <v>25000</v>
      </c>
      <c r="F292">
        <v>200000</v>
      </c>
    </row>
    <row r="293" spans="1:6" x14ac:dyDescent="0.25">
      <c r="A293" s="10" t="s">
        <v>47</v>
      </c>
      <c r="B293">
        <v>1008</v>
      </c>
      <c r="C293">
        <v>29</v>
      </c>
      <c r="D293">
        <v>8</v>
      </c>
      <c r="E293">
        <v>25000</v>
      </c>
      <c r="F293">
        <v>200000</v>
      </c>
    </row>
    <row r="294" spans="1:6" x14ac:dyDescent="0.25">
      <c r="A294" s="11" t="s">
        <v>48</v>
      </c>
      <c r="B294">
        <v>1008</v>
      </c>
      <c r="C294">
        <v>29</v>
      </c>
      <c r="D294">
        <v>8</v>
      </c>
      <c r="E294">
        <v>25000</v>
      </c>
      <c r="F294">
        <v>200000</v>
      </c>
    </row>
    <row r="295" spans="1:6" x14ac:dyDescent="0.25">
      <c r="A295" s="12" t="s">
        <v>49</v>
      </c>
      <c r="B295">
        <v>1008</v>
      </c>
      <c r="C295">
        <v>29</v>
      </c>
      <c r="D295">
        <v>8</v>
      </c>
      <c r="E295">
        <v>25000</v>
      </c>
      <c r="F295">
        <v>200000</v>
      </c>
    </row>
    <row r="296" spans="1:6" x14ac:dyDescent="0.25">
      <c r="A296" s="4" t="s">
        <v>50</v>
      </c>
      <c r="B296">
        <v>1009</v>
      </c>
      <c r="C296">
        <v>30</v>
      </c>
      <c r="D296">
        <v>9</v>
      </c>
      <c r="E296">
        <v>15000</v>
      </c>
      <c r="F296">
        <v>135000</v>
      </c>
    </row>
    <row r="297" spans="1:6" x14ac:dyDescent="0.25">
      <c r="A297" s="6" t="s">
        <v>13</v>
      </c>
      <c r="B297">
        <v>1009</v>
      </c>
      <c r="C297">
        <v>30</v>
      </c>
      <c r="D297">
        <v>9</v>
      </c>
      <c r="E297">
        <v>15000</v>
      </c>
      <c r="F297">
        <v>135000</v>
      </c>
    </row>
    <row r="298" spans="1:6" x14ac:dyDescent="0.25">
      <c r="A298" s="9" t="s">
        <v>26</v>
      </c>
      <c r="B298">
        <v>1009</v>
      </c>
      <c r="C298">
        <v>30</v>
      </c>
      <c r="D298">
        <v>9</v>
      </c>
      <c r="E298">
        <v>15000</v>
      </c>
      <c r="F298">
        <v>135000</v>
      </c>
    </row>
    <row r="299" spans="1:6" x14ac:dyDescent="0.25">
      <c r="A299" s="10" t="s">
        <v>51</v>
      </c>
      <c r="B299">
        <v>1009</v>
      </c>
      <c r="C299">
        <v>30</v>
      </c>
      <c r="D299">
        <v>9</v>
      </c>
      <c r="E299">
        <v>15000</v>
      </c>
      <c r="F299">
        <v>135000</v>
      </c>
    </row>
    <row r="300" spans="1:6" x14ac:dyDescent="0.25">
      <c r="A300" s="11" t="s">
        <v>48</v>
      </c>
      <c r="B300">
        <v>1009</v>
      </c>
      <c r="C300">
        <v>30</v>
      </c>
      <c r="D300">
        <v>9</v>
      </c>
      <c r="E300">
        <v>15000</v>
      </c>
      <c r="F300">
        <v>135000</v>
      </c>
    </row>
    <row r="301" spans="1:6" x14ac:dyDescent="0.25">
      <c r="A301" s="12" t="s">
        <v>52</v>
      </c>
      <c r="B301">
        <v>1009</v>
      </c>
      <c r="C301">
        <v>30</v>
      </c>
      <c r="D301">
        <v>9</v>
      </c>
      <c r="E301">
        <v>15000</v>
      </c>
      <c r="F301">
        <v>135000</v>
      </c>
    </row>
    <row r="302" spans="1:6" x14ac:dyDescent="0.25">
      <c r="A302" s="4" t="s">
        <v>124</v>
      </c>
      <c r="B302">
        <v>51275</v>
      </c>
      <c r="C302">
        <v>1525</v>
      </c>
      <c r="D302">
        <v>275</v>
      </c>
      <c r="E302">
        <v>5435000</v>
      </c>
      <c r="F302">
        <v>15700000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zoomScaleNormal="100" workbookViewId="0">
      <selection activeCell="N12" sqref="N12"/>
    </sheetView>
  </sheetViews>
  <sheetFormatPr defaultRowHeight="15" x14ac:dyDescent="0.25"/>
  <cols>
    <col min="1" max="1" width="28.42578125" style="1" bestFit="1" customWidth="1"/>
    <col min="2" max="2" width="16" bestFit="1" customWidth="1"/>
    <col min="3" max="3" width="25.7109375" bestFit="1" customWidth="1"/>
    <col min="4" max="4" width="8.5703125" style="1" customWidth="1"/>
    <col min="5" max="5" width="12.7109375" bestFit="1" customWidth="1"/>
    <col min="6" max="6" width="10.7109375" bestFit="1" customWidth="1"/>
    <col min="7" max="7" width="11.28515625" bestFit="1" customWidth="1"/>
    <col min="8" max="8" width="9.7109375" style="1" bestFit="1" customWidth="1"/>
    <col min="9" max="9" width="11.140625" bestFit="1" customWidth="1"/>
    <col min="10" max="10" width="12" bestFit="1" customWidth="1"/>
    <col min="11" max="11" width="11.5703125" bestFit="1" customWidth="1"/>
    <col min="12" max="12" width="17" bestFit="1" customWidth="1"/>
    <col min="13" max="13" width="10" bestFit="1" customWidth="1"/>
  </cols>
  <sheetData>
    <row r="1" spans="1:14" s="3" customFormat="1" ht="18.75" customHeight="1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4" x14ac:dyDescent="0.25">
      <c r="A2" s="1">
        <v>1001</v>
      </c>
      <c r="B2" t="s">
        <v>12</v>
      </c>
      <c r="C2" t="s">
        <v>13</v>
      </c>
      <c r="D2" s="1">
        <v>22</v>
      </c>
      <c r="E2" t="s">
        <v>14</v>
      </c>
      <c r="F2" t="s">
        <v>15</v>
      </c>
      <c r="G2" t="s">
        <v>16</v>
      </c>
      <c r="H2" s="1">
        <v>1</v>
      </c>
      <c r="I2">
        <v>450000</v>
      </c>
      <c r="J2">
        <f t="shared" ref="J2:J33" si="0">H2*I2</f>
        <v>450000</v>
      </c>
      <c r="K2" t="s">
        <v>17</v>
      </c>
      <c r="L2" t="s">
        <v>18</v>
      </c>
      <c r="N2">
        <f>SUM(M2:M51)</f>
        <v>0</v>
      </c>
    </row>
    <row r="3" spans="1:14" x14ac:dyDescent="0.25">
      <c r="A3" s="1">
        <v>1002</v>
      </c>
      <c r="B3" t="s">
        <v>19</v>
      </c>
      <c r="C3" t="s">
        <v>20</v>
      </c>
      <c r="D3" s="1">
        <v>23</v>
      </c>
      <c r="E3" t="s">
        <v>21</v>
      </c>
      <c r="F3" t="s">
        <v>22</v>
      </c>
      <c r="G3" t="s">
        <v>16</v>
      </c>
      <c r="H3" s="1">
        <v>2</v>
      </c>
      <c r="I3">
        <v>180000</v>
      </c>
      <c r="J3">
        <f t="shared" si="0"/>
        <v>360000</v>
      </c>
      <c r="K3" t="s">
        <v>23</v>
      </c>
      <c r="L3" t="s">
        <v>24</v>
      </c>
    </row>
    <row r="4" spans="1:14" x14ac:dyDescent="0.25">
      <c r="A4" s="1">
        <v>1003</v>
      </c>
      <c r="B4" t="s">
        <v>25</v>
      </c>
      <c r="C4" t="s">
        <v>13</v>
      </c>
      <c r="D4" s="1">
        <v>24</v>
      </c>
      <c r="E4" t="s">
        <v>26</v>
      </c>
      <c r="F4" t="s">
        <v>27</v>
      </c>
      <c r="G4" t="s">
        <v>28</v>
      </c>
      <c r="H4" s="1">
        <v>3</v>
      </c>
      <c r="I4">
        <v>120000</v>
      </c>
      <c r="J4">
        <f t="shared" si="0"/>
        <v>360000</v>
      </c>
      <c r="K4" t="s">
        <v>29</v>
      </c>
      <c r="L4" t="s">
        <v>30</v>
      </c>
    </row>
    <row r="5" spans="1:14" x14ac:dyDescent="0.25">
      <c r="A5" s="1">
        <v>1004</v>
      </c>
      <c r="B5" t="s">
        <v>31</v>
      </c>
      <c r="C5" t="s">
        <v>20</v>
      </c>
      <c r="D5" s="1">
        <v>25</v>
      </c>
      <c r="E5" t="s">
        <v>32</v>
      </c>
      <c r="F5" t="s">
        <v>33</v>
      </c>
      <c r="G5" t="s">
        <v>28</v>
      </c>
      <c r="H5" s="1">
        <v>4</v>
      </c>
      <c r="I5">
        <v>85000</v>
      </c>
      <c r="J5">
        <f t="shared" si="0"/>
        <v>340000</v>
      </c>
      <c r="K5" t="s">
        <v>34</v>
      </c>
      <c r="L5" t="s">
        <v>18</v>
      </c>
    </row>
    <row r="6" spans="1:14" x14ac:dyDescent="0.25">
      <c r="A6" s="1">
        <v>1005</v>
      </c>
      <c r="B6" t="s">
        <v>35</v>
      </c>
      <c r="C6" t="s">
        <v>13</v>
      </c>
      <c r="D6" s="1">
        <v>26</v>
      </c>
      <c r="E6" t="s">
        <v>36</v>
      </c>
      <c r="F6" t="s">
        <v>37</v>
      </c>
      <c r="G6" t="s">
        <v>16</v>
      </c>
      <c r="H6" s="1">
        <v>5</v>
      </c>
      <c r="I6">
        <v>80000</v>
      </c>
      <c r="J6">
        <f t="shared" si="0"/>
        <v>400000</v>
      </c>
      <c r="K6" t="s">
        <v>38</v>
      </c>
      <c r="L6" t="s">
        <v>24</v>
      </c>
    </row>
    <row r="7" spans="1:14" x14ac:dyDescent="0.25">
      <c r="A7" s="1">
        <v>1006</v>
      </c>
      <c r="B7" t="s">
        <v>39</v>
      </c>
      <c r="C7" t="s">
        <v>20</v>
      </c>
      <c r="D7" s="1">
        <v>27</v>
      </c>
      <c r="E7" t="s">
        <v>40</v>
      </c>
      <c r="F7" t="s">
        <v>41</v>
      </c>
      <c r="G7" t="s">
        <v>16</v>
      </c>
      <c r="H7" s="1">
        <v>6</v>
      </c>
      <c r="I7">
        <v>65000</v>
      </c>
      <c r="J7">
        <f t="shared" si="0"/>
        <v>390000</v>
      </c>
      <c r="K7" t="s">
        <v>42</v>
      </c>
      <c r="L7" t="s">
        <v>30</v>
      </c>
    </row>
    <row r="8" spans="1:14" x14ac:dyDescent="0.25">
      <c r="A8" s="1">
        <v>1007</v>
      </c>
      <c r="B8" t="s">
        <v>43</v>
      </c>
      <c r="C8" t="s">
        <v>13</v>
      </c>
      <c r="D8" s="1">
        <v>28</v>
      </c>
      <c r="E8" t="s">
        <v>14</v>
      </c>
      <c r="F8" t="s">
        <v>44</v>
      </c>
      <c r="G8" t="s">
        <v>28</v>
      </c>
      <c r="H8" s="1">
        <v>7</v>
      </c>
      <c r="I8">
        <v>55000</v>
      </c>
      <c r="J8">
        <f t="shared" si="0"/>
        <v>385000</v>
      </c>
      <c r="K8" t="s">
        <v>45</v>
      </c>
      <c r="L8" t="s">
        <v>18</v>
      </c>
    </row>
    <row r="9" spans="1:14" x14ac:dyDescent="0.25">
      <c r="A9" s="1">
        <v>1008</v>
      </c>
      <c r="B9" t="s">
        <v>46</v>
      </c>
      <c r="C9" t="s">
        <v>20</v>
      </c>
      <c r="D9" s="1">
        <v>29</v>
      </c>
      <c r="E9" t="s">
        <v>21</v>
      </c>
      <c r="F9" t="s">
        <v>47</v>
      </c>
      <c r="G9" t="s">
        <v>48</v>
      </c>
      <c r="H9" s="1">
        <v>8</v>
      </c>
      <c r="I9">
        <v>25000</v>
      </c>
      <c r="J9">
        <f t="shared" si="0"/>
        <v>200000</v>
      </c>
      <c r="K9" t="s">
        <v>49</v>
      </c>
      <c r="L9" t="s">
        <v>24</v>
      </c>
    </row>
    <row r="10" spans="1:14" x14ac:dyDescent="0.25">
      <c r="A10" s="1">
        <v>1009</v>
      </c>
      <c r="B10" t="s">
        <v>50</v>
      </c>
      <c r="C10" t="s">
        <v>13</v>
      </c>
      <c r="D10" s="1">
        <v>30</v>
      </c>
      <c r="E10" t="s">
        <v>26</v>
      </c>
      <c r="F10" t="s">
        <v>51</v>
      </c>
      <c r="G10" t="s">
        <v>48</v>
      </c>
      <c r="H10" s="1">
        <v>9</v>
      </c>
      <c r="I10">
        <v>15000</v>
      </c>
      <c r="J10">
        <f t="shared" si="0"/>
        <v>135000</v>
      </c>
      <c r="K10" t="s">
        <v>52</v>
      </c>
      <c r="L10" t="s">
        <v>30</v>
      </c>
    </row>
    <row r="11" spans="1:14" x14ac:dyDescent="0.25">
      <c r="A11" s="1">
        <v>1010</v>
      </c>
      <c r="B11" t="s">
        <v>53</v>
      </c>
      <c r="C11" t="s">
        <v>20</v>
      </c>
      <c r="D11" s="1">
        <v>31</v>
      </c>
      <c r="E11" t="s">
        <v>32</v>
      </c>
      <c r="F11" t="s">
        <v>54</v>
      </c>
      <c r="G11" t="s">
        <v>48</v>
      </c>
      <c r="H11" s="1">
        <v>10</v>
      </c>
      <c r="I11">
        <v>12000</v>
      </c>
      <c r="J11">
        <f t="shared" si="0"/>
        <v>120000</v>
      </c>
      <c r="K11" t="s">
        <v>55</v>
      </c>
      <c r="L11" t="s">
        <v>18</v>
      </c>
    </row>
    <row r="12" spans="1:14" x14ac:dyDescent="0.25">
      <c r="A12" s="1">
        <v>1011</v>
      </c>
      <c r="B12" t="s">
        <v>56</v>
      </c>
      <c r="C12" t="s">
        <v>13</v>
      </c>
      <c r="D12" s="1">
        <v>32</v>
      </c>
      <c r="E12" t="s">
        <v>36</v>
      </c>
      <c r="F12" t="s">
        <v>15</v>
      </c>
      <c r="G12" t="s">
        <v>16</v>
      </c>
      <c r="H12" s="1">
        <v>1</v>
      </c>
      <c r="I12">
        <v>450000</v>
      </c>
      <c r="J12">
        <f t="shared" si="0"/>
        <v>450000</v>
      </c>
      <c r="K12" t="s">
        <v>57</v>
      </c>
      <c r="L12" t="s">
        <v>24</v>
      </c>
    </row>
    <row r="13" spans="1:14" x14ac:dyDescent="0.25">
      <c r="A13" s="1">
        <v>1012</v>
      </c>
      <c r="B13" t="s">
        <v>58</v>
      </c>
      <c r="C13" t="s">
        <v>20</v>
      </c>
      <c r="D13" s="1">
        <v>33</v>
      </c>
      <c r="E13" t="s">
        <v>40</v>
      </c>
      <c r="F13" t="s">
        <v>22</v>
      </c>
      <c r="G13" t="s">
        <v>16</v>
      </c>
      <c r="H13" s="1">
        <v>2</v>
      </c>
      <c r="I13">
        <v>180000</v>
      </c>
      <c r="J13">
        <f t="shared" si="0"/>
        <v>360000</v>
      </c>
      <c r="K13" t="s">
        <v>59</v>
      </c>
      <c r="L13" t="s">
        <v>30</v>
      </c>
    </row>
    <row r="14" spans="1:14" x14ac:dyDescent="0.25">
      <c r="A14" s="1">
        <v>1013</v>
      </c>
      <c r="B14" t="s">
        <v>60</v>
      </c>
      <c r="C14" t="s">
        <v>13</v>
      </c>
      <c r="D14" s="1">
        <v>34</v>
      </c>
      <c r="E14" t="s">
        <v>14</v>
      </c>
      <c r="F14" t="s">
        <v>27</v>
      </c>
      <c r="G14" t="s">
        <v>28</v>
      </c>
      <c r="H14" s="1">
        <v>3</v>
      </c>
      <c r="I14">
        <v>120000</v>
      </c>
      <c r="J14">
        <f t="shared" si="0"/>
        <v>360000</v>
      </c>
      <c r="K14" t="s">
        <v>61</v>
      </c>
      <c r="L14" t="s">
        <v>18</v>
      </c>
    </row>
    <row r="15" spans="1:14" x14ac:dyDescent="0.25">
      <c r="A15" s="1">
        <v>1014</v>
      </c>
      <c r="B15" t="s">
        <v>62</v>
      </c>
      <c r="C15" t="s">
        <v>20</v>
      </c>
      <c r="D15" s="1">
        <v>35</v>
      </c>
      <c r="E15" t="s">
        <v>21</v>
      </c>
      <c r="F15" t="s">
        <v>33</v>
      </c>
      <c r="G15" t="s">
        <v>28</v>
      </c>
      <c r="H15" s="1">
        <v>4</v>
      </c>
      <c r="I15">
        <v>85000</v>
      </c>
      <c r="J15">
        <f t="shared" si="0"/>
        <v>340000</v>
      </c>
      <c r="K15" t="s">
        <v>63</v>
      </c>
      <c r="L15" t="s">
        <v>24</v>
      </c>
    </row>
    <row r="16" spans="1:14" x14ac:dyDescent="0.25">
      <c r="A16" s="1">
        <v>1015</v>
      </c>
      <c r="B16" t="s">
        <v>64</v>
      </c>
      <c r="C16" t="s">
        <v>13</v>
      </c>
      <c r="D16" s="1">
        <v>36</v>
      </c>
      <c r="E16" t="s">
        <v>26</v>
      </c>
      <c r="F16" t="s">
        <v>37</v>
      </c>
      <c r="G16" t="s">
        <v>16</v>
      </c>
      <c r="H16" s="1">
        <v>5</v>
      </c>
      <c r="I16">
        <v>80000</v>
      </c>
      <c r="J16">
        <f t="shared" si="0"/>
        <v>400000</v>
      </c>
      <c r="K16" t="s">
        <v>65</v>
      </c>
      <c r="L16" t="s">
        <v>30</v>
      </c>
    </row>
    <row r="17" spans="1:12" x14ac:dyDescent="0.25">
      <c r="A17" s="1">
        <v>1016</v>
      </c>
      <c r="B17" t="s">
        <v>66</v>
      </c>
      <c r="C17" t="s">
        <v>20</v>
      </c>
      <c r="D17" s="1">
        <v>37</v>
      </c>
      <c r="E17" t="s">
        <v>32</v>
      </c>
      <c r="F17" t="s">
        <v>41</v>
      </c>
      <c r="G17" t="s">
        <v>16</v>
      </c>
      <c r="H17" s="1">
        <v>6</v>
      </c>
      <c r="I17">
        <v>65000</v>
      </c>
      <c r="J17">
        <f t="shared" si="0"/>
        <v>390000</v>
      </c>
      <c r="K17" t="s">
        <v>67</v>
      </c>
      <c r="L17" t="s">
        <v>18</v>
      </c>
    </row>
    <row r="18" spans="1:12" x14ac:dyDescent="0.25">
      <c r="A18" s="1">
        <v>1017</v>
      </c>
      <c r="B18" t="s">
        <v>68</v>
      </c>
      <c r="C18" t="s">
        <v>13</v>
      </c>
      <c r="D18" s="1">
        <v>38</v>
      </c>
      <c r="E18" t="s">
        <v>36</v>
      </c>
      <c r="F18" t="s">
        <v>44</v>
      </c>
      <c r="G18" t="s">
        <v>28</v>
      </c>
      <c r="H18" s="1">
        <v>7</v>
      </c>
      <c r="I18">
        <v>55000</v>
      </c>
      <c r="J18">
        <f t="shared" si="0"/>
        <v>385000</v>
      </c>
      <c r="K18" t="s">
        <v>69</v>
      </c>
      <c r="L18" t="s">
        <v>24</v>
      </c>
    </row>
    <row r="19" spans="1:12" x14ac:dyDescent="0.25">
      <c r="A19" s="1">
        <v>1018</v>
      </c>
      <c r="B19" t="s">
        <v>70</v>
      </c>
      <c r="C19" t="s">
        <v>20</v>
      </c>
      <c r="D19" s="1">
        <v>39</v>
      </c>
      <c r="E19" t="s">
        <v>40</v>
      </c>
      <c r="F19" t="s">
        <v>47</v>
      </c>
      <c r="G19" t="s">
        <v>48</v>
      </c>
      <c r="H19" s="1">
        <v>8</v>
      </c>
      <c r="I19">
        <v>25000</v>
      </c>
      <c r="J19">
        <f t="shared" si="0"/>
        <v>200000</v>
      </c>
      <c r="K19" t="s">
        <v>71</v>
      </c>
      <c r="L19" t="s">
        <v>30</v>
      </c>
    </row>
    <row r="20" spans="1:12" x14ac:dyDescent="0.25">
      <c r="A20" s="1">
        <v>1019</v>
      </c>
      <c r="B20" t="s">
        <v>72</v>
      </c>
      <c r="C20" t="s">
        <v>13</v>
      </c>
      <c r="D20" s="1">
        <v>40</v>
      </c>
      <c r="E20" t="s">
        <v>14</v>
      </c>
      <c r="F20" t="s">
        <v>51</v>
      </c>
      <c r="G20" t="s">
        <v>48</v>
      </c>
      <c r="H20" s="1">
        <v>9</v>
      </c>
      <c r="I20">
        <v>15000</v>
      </c>
      <c r="J20">
        <f t="shared" si="0"/>
        <v>135000</v>
      </c>
      <c r="K20" t="s">
        <v>73</v>
      </c>
      <c r="L20" t="s">
        <v>18</v>
      </c>
    </row>
    <row r="21" spans="1:12" x14ac:dyDescent="0.25">
      <c r="A21" s="1">
        <v>1020</v>
      </c>
      <c r="B21" t="s">
        <v>74</v>
      </c>
      <c r="C21" t="s">
        <v>20</v>
      </c>
      <c r="D21" s="1">
        <v>41</v>
      </c>
      <c r="E21" t="s">
        <v>21</v>
      </c>
      <c r="F21" t="s">
        <v>54</v>
      </c>
      <c r="G21" t="s">
        <v>48</v>
      </c>
      <c r="H21" s="1">
        <v>10</v>
      </c>
      <c r="I21">
        <v>12000</v>
      </c>
      <c r="J21">
        <f t="shared" si="0"/>
        <v>120000</v>
      </c>
      <c r="K21" t="s">
        <v>75</v>
      </c>
      <c r="L21" t="s">
        <v>24</v>
      </c>
    </row>
    <row r="22" spans="1:12" x14ac:dyDescent="0.25">
      <c r="A22" s="1">
        <v>1021</v>
      </c>
      <c r="B22" t="s">
        <v>76</v>
      </c>
      <c r="C22" t="s">
        <v>13</v>
      </c>
      <c r="D22" s="1">
        <v>22</v>
      </c>
      <c r="E22" t="s">
        <v>26</v>
      </c>
      <c r="F22" t="s">
        <v>15</v>
      </c>
      <c r="G22" t="s">
        <v>16</v>
      </c>
      <c r="H22" s="1">
        <v>1</v>
      </c>
      <c r="I22">
        <v>450000</v>
      </c>
      <c r="J22">
        <f t="shared" si="0"/>
        <v>450000</v>
      </c>
      <c r="K22" t="s">
        <v>77</v>
      </c>
      <c r="L22" t="s">
        <v>30</v>
      </c>
    </row>
    <row r="23" spans="1:12" x14ac:dyDescent="0.25">
      <c r="A23" s="1">
        <v>1022</v>
      </c>
      <c r="B23" t="s">
        <v>78</v>
      </c>
      <c r="C23" t="s">
        <v>20</v>
      </c>
      <c r="D23" s="1">
        <v>23</v>
      </c>
      <c r="E23" t="s">
        <v>32</v>
      </c>
      <c r="F23" t="s">
        <v>22</v>
      </c>
      <c r="G23" t="s">
        <v>16</v>
      </c>
      <c r="H23" s="1">
        <v>2</v>
      </c>
      <c r="I23">
        <v>180000</v>
      </c>
      <c r="J23">
        <f t="shared" si="0"/>
        <v>360000</v>
      </c>
      <c r="K23" t="s">
        <v>79</v>
      </c>
      <c r="L23" t="s">
        <v>18</v>
      </c>
    </row>
    <row r="24" spans="1:12" x14ac:dyDescent="0.25">
      <c r="A24" s="1">
        <v>1023</v>
      </c>
      <c r="B24" t="s">
        <v>80</v>
      </c>
      <c r="C24" t="s">
        <v>13</v>
      </c>
      <c r="D24" s="1">
        <v>24</v>
      </c>
      <c r="E24" t="s">
        <v>36</v>
      </c>
      <c r="F24" t="s">
        <v>27</v>
      </c>
      <c r="G24" t="s">
        <v>28</v>
      </c>
      <c r="H24" s="1">
        <v>3</v>
      </c>
      <c r="I24">
        <v>120000</v>
      </c>
      <c r="J24">
        <f t="shared" si="0"/>
        <v>360000</v>
      </c>
      <c r="K24" t="s">
        <v>81</v>
      </c>
      <c r="L24" t="s">
        <v>24</v>
      </c>
    </row>
    <row r="25" spans="1:12" x14ac:dyDescent="0.25">
      <c r="A25" s="1">
        <v>1024</v>
      </c>
      <c r="B25" t="s">
        <v>82</v>
      </c>
      <c r="C25" t="s">
        <v>20</v>
      </c>
      <c r="D25" s="1">
        <v>25</v>
      </c>
      <c r="E25" t="s">
        <v>40</v>
      </c>
      <c r="F25" t="s">
        <v>33</v>
      </c>
      <c r="G25" t="s">
        <v>28</v>
      </c>
      <c r="H25" s="1">
        <v>4</v>
      </c>
      <c r="I25">
        <v>85000</v>
      </c>
      <c r="J25">
        <f t="shared" si="0"/>
        <v>340000</v>
      </c>
      <c r="K25" t="s">
        <v>83</v>
      </c>
      <c r="L25" t="s">
        <v>30</v>
      </c>
    </row>
    <row r="26" spans="1:12" x14ac:dyDescent="0.25">
      <c r="A26" s="1">
        <v>1025</v>
      </c>
      <c r="B26" t="s">
        <v>84</v>
      </c>
      <c r="C26" t="s">
        <v>13</v>
      </c>
      <c r="D26" s="1">
        <v>26</v>
      </c>
      <c r="E26" t="s">
        <v>14</v>
      </c>
      <c r="F26" t="s">
        <v>37</v>
      </c>
      <c r="G26" t="s">
        <v>16</v>
      </c>
      <c r="H26" s="1">
        <v>5</v>
      </c>
      <c r="I26">
        <v>80000</v>
      </c>
      <c r="J26">
        <f t="shared" si="0"/>
        <v>400000</v>
      </c>
      <c r="K26" t="s">
        <v>85</v>
      </c>
      <c r="L26" t="s">
        <v>18</v>
      </c>
    </row>
    <row r="27" spans="1:12" x14ac:dyDescent="0.25">
      <c r="A27" s="1">
        <v>1026</v>
      </c>
      <c r="B27" t="s">
        <v>86</v>
      </c>
      <c r="C27" t="s">
        <v>20</v>
      </c>
      <c r="D27" s="1">
        <v>27</v>
      </c>
      <c r="E27" t="s">
        <v>21</v>
      </c>
      <c r="F27" t="s">
        <v>41</v>
      </c>
      <c r="G27" t="s">
        <v>16</v>
      </c>
      <c r="H27" s="1">
        <v>6</v>
      </c>
      <c r="I27">
        <v>65000</v>
      </c>
      <c r="J27">
        <f t="shared" si="0"/>
        <v>390000</v>
      </c>
      <c r="K27" t="s">
        <v>87</v>
      </c>
      <c r="L27" t="s">
        <v>24</v>
      </c>
    </row>
    <row r="28" spans="1:12" x14ac:dyDescent="0.25">
      <c r="A28" s="1">
        <v>1027</v>
      </c>
      <c r="B28" t="s">
        <v>88</v>
      </c>
      <c r="C28" t="s">
        <v>13</v>
      </c>
      <c r="D28" s="1">
        <v>28</v>
      </c>
      <c r="E28" t="s">
        <v>26</v>
      </c>
      <c r="F28" t="s">
        <v>44</v>
      </c>
      <c r="G28" t="s">
        <v>28</v>
      </c>
      <c r="H28" s="1">
        <v>7</v>
      </c>
      <c r="I28">
        <v>55000</v>
      </c>
      <c r="J28">
        <f t="shared" si="0"/>
        <v>385000</v>
      </c>
      <c r="K28" t="s">
        <v>89</v>
      </c>
      <c r="L28" t="s">
        <v>30</v>
      </c>
    </row>
    <row r="29" spans="1:12" x14ac:dyDescent="0.25">
      <c r="A29" s="1">
        <v>1028</v>
      </c>
      <c r="B29" t="s">
        <v>90</v>
      </c>
      <c r="C29" t="s">
        <v>20</v>
      </c>
      <c r="D29" s="1">
        <v>29</v>
      </c>
      <c r="E29" t="s">
        <v>32</v>
      </c>
      <c r="F29" t="s">
        <v>47</v>
      </c>
      <c r="G29" t="s">
        <v>48</v>
      </c>
      <c r="H29" s="1">
        <v>8</v>
      </c>
      <c r="I29">
        <v>25000</v>
      </c>
      <c r="J29">
        <f t="shared" si="0"/>
        <v>200000</v>
      </c>
      <c r="K29" t="s">
        <v>91</v>
      </c>
      <c r="L29" t="s">
        <v>18</v>
      </c>
    </row>
    <row r="30" spans="1:12" x14ac:dyDescent="0.25">
      <c r="A30" s="1">
        <v>1029</v>
      </c>
      <c r="B30" t="s">
        <v>92</v>
      </c>
      <c r="C30" t="s">
        <v>13</v>
      </c>
      <c r="D30" s="1">
        <v>30</v>
      </c>
      <c r="E30" t="s">
        <v>36</v>
      </c>
      <c r="F30" t="s">
        <v>51</v>
      </c>
      <c r="G30" t="s">
        <v>48</v>
      </c>
      <c r="H30" s="1">
        <v>9</v>
      </c>
      <c r="I30">
        <v>15000</v>
      </c>
      <c r="J30">
        <f t="shared" si="0"/>
        <v>135000</v>
      </c>
      <c r="K30" t="s">
        <v>17</v>
      </c>
      <c r="L30" t="s">
        <v>24</v>
      </c>
    </row>
    <row r="31" spans="1:12" x14ac:dyDescent="0.25">
      <c r="A31" s="1">
        <v>1030</v>
      </c>
      <c r="B31" t="s">
        <v>93</v>
      </c>
      <c r="C31" t="s">
        <v>20</v>
      </c>
      <c r="D31" s="1">
        <v>31</v>
      </c>
      <c r="E31" t="s">
        <v>40</v>
      </c>
      <c r="F31" t="s">
        <v>54</v>
      </c>
      <c r="G31" t="s">
        <v>48</v>
      </c>
      <c r="H31" s="1">
        <v>10</v>
      </c>
      <c r="I31">
        <v>12000</v>
      </c>
      <c r="J31">
        <f t="shared" si="0"/>
        <v>120000</v>
      </c>
      <c r="K31" t="s">
        <v>23</v>
      </c>
      <c r="L31" t="s">
        <v>30</v>
      </c>
    </row>
    <row r="32" spans="1:12" x14ac:dyDescent="0.25">
      <c r="A32" s="1">
        <v>1031</v>
      </c>
      <c r="B32" t="s">
        <v>94</v>
      </c>
      <c r="C32" t="s">
        <v>13</v>
      </c>
      <c r="D32" s="1">
        <v>32</v>
      </c>
      <c r="E32" t="s">
        <v>14</v>
      </c>
      <c r="F32" t="s">
        <v>15</v>
      </c>
      <c r="G32" t="s">
        <v>16</v>
      </c>
      <c r="H32" s="1">
        <v>1</v>
      </c>
      <c r="I32">
        <v>450000</v>
      </c>
      <c r="J32">
        <f t="shared" si="0"/>
        <v>450000</v>
      </c>
      <c r="K32" t="s">
        <v>29</v>
      </c>
      <c r="L32" t="s">
        <v>18</v>
      </c>
    </row>
    <row r="33" spans="1:12" x14ac:dyDescent="0.25">
      <c r="A33" s="1">
        <v>1032</v>
      </c>
      <c r="B33" t="s">
        <v>95</v>
      </c>
      <c r="C33" t="s">
        <v>20</v>
      </c>
      <c r="D33" s="1">
        <v>33</v>
      </c>
      <c r="E33" t="s">
        <v>21</v>
      </c>
      <c r="F33" t="s">
        <v>22</v>
      </c>
      <c r="G33" t="s">
        <v>16</v>
      </c>
      <c r="H33" s="1">
        <v>2</v>
      </c>
      <c r="I33">
        <v>180000</v>
      </c>
      <c r="J33">
        <f t="shared" si="0"/>
        <v>360000</v>
      </c>
      <c r="K33" t="s">
        <v>34</v>
      </c>
      <c r="L33" t="s">
        <v>24</v>
      </c>
    </row>
    <row r="34" spans="1:12" x14ac:dyDescent="0.25">
      <c r="A34" s="1">
        <v>1033</v>
      </c>
      <c r="B34" t="s">
        <v>96</v>
      </c>
      <c r="C34" t="s">
        <v>13</v>
      </c>
      <c r="D34" s="1">
        <v>34</v>
      </c>
      <c r="E34" t="s">
        <v>26</v>
      </c>
      <c r="F34" t="s">
        <v>27</v>
      </c>
      <c r="G34" t="s">
        <v>28</v>
      </c>
      <c r="H34" s="1">
        <v>3</v>
      </c>
      <c r="I34">
        <v>120000</v>
      </c>
      <c r="J34">
        <f t="shared" ref="J34:J51" si="1">H34*I34</f>
        <v>360000</v>
      </c>
      <c r="K34" t="s">
        <v>38</v>
      </c>
      <c r="L34" t="s">
        <v>30</v>
      </c>
    </row>
    <row r="35" spans="1:12" x14ac:dyDescent="0.25">
      <c r="A35" s="1">
        <v>1034</v>
      </c>
      <c r="B35" t="s">
        <v>97</v>
      </c>
      <c r="C35" t="s">
        <v>20</v>
      </c>
      <c r="D35" s="1">
        <v>35</v>
      </c>
      <c r="E35" t="s">
        <v>32</v>
      </c>
      <c r="F35" t="s">
        <v>33</v>
      </c>
      <c r="G35" t="s">
        <v>28</v>
      </c>
      <c r="H35" s="1">
        <v>4</v>
      </c>
      <c r="I35">
        <v>85000</v>
      </c>
      <c r="J35">
        <f t="shared" si="1"/>
        <v>340000</v>
      </c>
      <c r="K35" t="s">
        <v>42</v>
      </c>
      <c r="L35" t="s">
        <v>18</v>
      </c>
    </row>
    <row r="36" spans="1:12" x14ac:dyDescent="0.25">
      <c r="A36" s="1">
        <v>1035</v>
      </c>
      <c r="B36" t="s">
        <v>98</v>
      </c>
      <c r="C36" t="s">
        <v>13</v>
      </c>
      <c r="D36" s="1">
        <v>36</v>
      </c>
      <c r="E36" t="s">
        <v>36</v>
      </c>
      <c r="F36" t="s">
        <v>37</v>
      </c>
      <c r="G36" t="s">
        <v>16</v>
      </c>
      <c r="H36" s="1">
        <v>5</v>
      </c>
      <c r="I36">
        <v>80000</v>
      </c>
      <c r="J36">
        <f t="shared" si="1"/>
        <v>400000</v>
      </c>
      <c r="K36" t="s">
        <v>45</v>
      </c>
      <c r="L36" t="s">
        <v>24</v>
      </c>
    </row>
    <row r="37" spans="1:12" x14ac:dyDescent="0.25">
      <c r="A37" s="1">
        <v>1036</v>
      </c>
      <c r="B37" t="s">
        <v>99</v>
      </c>
      <c r="C37" t="s">
        <v>20</v>
      </c>
      <c r="D37" s="1">
        <v>37</v>
      </c>
      <c r="E37" t="s">
        <v>40</v>
      </c>
      <c r="F37" t="s">
        <v>41</v>
      </c>
      <c r="G37" t="s">
        <v>16</v>
      </c>
      <c r="H37" s="1">
        <v>6</v>
      </c>
      <c r="I37">
        <v>65000</v>
      </c>
      <c r="J37">
        <f t="shared" si="1"/>
        <v>390000</v>
      </c>
      <c r="K37" t="s">
        <v>49</v>
      </c>
      <c r="L37" t="s">
        <v>30</v>
      </c>
    </row>
    <row r="38" spans="1:12" x14ac:dyDescent="0.25">
      <c r="A38" s="1">
        <v>1037</v>
      </c>
      <c r="B38" t="s">
        <v>100</v>
      </c>
      <c r="C38" t="s">
        <v>13</v>
      </c>
      <c r="D38" s="1">
        <v>38</v>
      </c>
      <c r="E38" t="s">
        <v>14</v>
      </c>
      <c r="F38" t="s">
        <v>44</v>
      </c>
      <c r="G38" t="s">
        <v>28</v>
      </c>
      <c r="H38" s="1">
        <v>7</v>
      </c>
      <c r="I38">
        <v>55000</v>
      </c>
      <c r="J38">
        <f t="shared" si="1"/>
        <v>385000</v>
      </c>
      <c r="K38" t="s">
        <v>52</v>
      </c>
      <c r="L38" t="s">
        <v>18</v>
      </c>
    </row>
    <row r="39" spans="1:12" x14ac:dyDescent="0.25">
      <c r="A39" s="1">
        <v>1038</v>
      </c>
      <c r="B39" t="s">
        <v>101</v>
      </c>
      <c r="C39" t="s">
        <v>20</v>
      </c>
      <c r="D39" s="1">
        <v>39</v>
      </c>
      <c r="E39" t="s">
        <v>21</v>
      </c>
      <c r="F39" t="s">
        <v>47</v>
      </c>
      <c r="G39" t="s">
        <v>48</v>
      </c>
      <c r="H39" s="1">
        <v>8</v>
      </c>
      <c r="I39">
        <v>25000</v>
      </c>
      <c r="J39">
        <f t="shared" si="1"/>
        <v>200000</v>
      </c>
      <c r="K39" t="s">
        <v>55</v>
      </c>
      <c r="L39" t="s">
        <v>24</v>
      </c>
    </row>
    <row r="40" spans="1:12" x14ac:dyDescent="0.25">
      <c r="A40" s="1">
        <v>1039</v>
      </c>
      <c r="B40" t="s">
        <v>102</v>
      </c>
      <c r="C40" t="s">
        <v>13</v>
      </c>
      <c r="D40" s="1">
        <v>40</v>
      </c>
      <c r="E40" t="s">
        <v>26</v>
      </c>
      <c r="F40" t="s">
        <v>51</v>
      </c>
      <c r="G40" t="s">
        <v>48</v>
      </c>
      <c r="H40" s="1">
        <v>9</v>
      </c>
      <c r="I40">
        <v>15000</v>
      </c>
      <c r="J40">
        <f t="shared" si="1"/>
        <v>135000</v>
      </c>
      <c r="K40" t="s">
        <v>57</v>
      </c>
      <c r="L40" t="s">
        <v>30</v>
      </c>
    </row>
    <row r="41" spans="1:12" x14ac:dyDescent="0.25">
      <c r="A41" s="1">
        <v>1040</v>
      </c>
      <c r="B41" t="s">
        <v>103</v>
      </c>
      <c r="C41" t="s">
        <v>20</v>
      </c>
      <c r="D41" s="1">
        <v>41</v>
      </c>
      <c r="E41" t="s">
        <v>32</v>
      </c>
      <c r="F41" t="s">
        <v>54</v>
      </c>
      <c r="G41" t="s">
        <v>48</v>
      </c>
      <c r="H41" s="1">
        <v>10</v>
      </c>
      <c r="I41">
        <v>12000</v>
      </c>
      <c r="J41">
        <f t="shared" si="1"/>
        <v>120000</v>
      </c>
      <c r="K41" t="s">
        <v>59</v>
      </c>
      <c r="L41" t="s">
        <v>18</v>
      </c>
    </row>
    <row r="42" spans="1:12" x14ac:dyDescent="0.25">
      <c r="A42" s="1">
        <v>1041</v>
      </c>
      <c r="B42" t="s">
        <v>104</v>
      </c>
      <c r="C42" t="s">
        <v>13</v>
      </c>
      <c r="D42" s="1">
        <v>22</v>
      </c>
      <c r="E42" t="s">
        <v>36</v>
      </c>
      <c r="F42" t="s">
        <v>15</v>
      </c>
      <c r="G42" t="s">
        <v>16</v>
      </c>
      <c r="H42" s="1">
        <v>1</v>
      </c>
      <c r="I42">
        <v>450000</v>
      </c>
      <c r="J42">
        <f t="shared" si="1"/>
        <v>450000</v>
      </c>
      <c r="K42" t="s">
        <v>61</v>
      </c>
      <c r="L42" t="s">
        <v>24</v>
      </c>
    </row>
    <row r="43" spans="1:12" x14ac:dyDescent="0.25">
      <c r="A43" s="1">
        <v>1042</v>
      </c>
      <c r="B43" t="s">
        <v>105</v>
      </c>
      <c r="C43" t="s">
        <v>20</v>
      </c>
      <c r="D43" s="1">
        <v>23</v>
      </c>
      <c r="E43" t="s">
        <v>40</v>
      </c>
      <c r="F43" t="s">
        <v>22</v>
      </c>
      <c r="G43" t="s">
        <v>16</v>
      </c>
      <c r="H43" s="1">
        <v>2</v>
      </c>
      <c r="I43">
        <v>180000</v>
      </c>
      <c r="J43">
        <f t="shared" si="1"/>
        <v>360000</v>
      </c>
      <c r="K43" t="s">
        <v>63</v>
      </c>
      <c r="L43" t="s">
        <v>30</v>
      </c>
    </row>
    <row r="44" spans="1:12" x14ac:dyDescent="0.25">
      <c r="A44" s="1">
        <v>1043</v>
      </c>
      <c r="B44" t="s">
        <v>106</v>
      </c>
      <c r="C44" t="s">
        <v>13</v>
      </c>
      <c r="D44" s="1">
        <v>24</v>
      </c>
      <c r="E44" t="s">
        <v>14</v>
      </c>
      <c r="F44" t="s">
        <v>27</v>
      </c>
      <c r="G44" t="s">
        <v>28</v>
      </c>
      <c r="H44" s="1">
        <v>3</v>
      </c>
      <c r="I44">
        <v>120000</v>
      </c>
      <c r="J44">
        <f t="shared" si="1"/>
        <v>360000</v>
      </c>
      <c r="K44" t="s">
        <v>65</v>
      </c>
      <c r="L44" t="s">
        <v>18</v>
      </c>
    </row>
    <row r="45" spans="1:12" x14ac:dyDescent="0.25">
      <c r="A45" s="1">
        <v>1044</v>
      </c>
      <c r="B45" t="s">
        <v>107</v>
      </c>
      <c r="C45" t="s">
        <v>20</v>
      </c>
      <c r="D45" s="1">
        <v>25</v>
      </c>
      <c r="E45" t="s">
        <v>21</v>
      </c>
      <c r="F45" t="s">
        <v>33</v>
      </c>
      <c r="G45" t="s">
        <v>28</v>
      </c>
      <c r="H45" s="1">
        <v>4</v>
      </c>
      <c r="I45">
        <v>85000</v>
      </c>
      <c r="J45">
        <f t="shared" si="1"/>
        <v>340000</v>
      </c>
      <c r="K45" t="s">
        <v>67</v>
      </c>
      <c r="L45" t="s">
        <v>24</v>
      </c>
    </row>
    <row r="46" spans="1:12" x14ac:dyDescent="0.25">
      <c r="A46" s="1">
        <v>1045</v>
      </c>
      <c r="B46" t="s">
        <v>108</v>
      </c>
      <c r="C46" t="s">
        <v>13</v>
      </c>
      <c r="D46" s="1">
        <v>26</v>
      </c>
      <c r="E46" t="s">
        <v>26</v>
      </c>
      <c r="F46" t="s">
        <v>37</v>
      </c>
      <c r="G46" t="s">
        <v>16</v>
      </c>
      <c r="H46" s="1">
        <v>5</v>
      </c>
      <c r="I46">
        <v>80000</v>
      </c>
      <c r="J46">
        <f t="shared" si="1"/>
        <v>400000</v>
      </c>
      <c r="K46" t="s">
        <v>69</v>
      </c>
      <c r="L46" t="s">
        <v>30</v>
      </c>
    </row>
    <row r="47" spans="1:12" x14ac:dyDescent="0.25">
      <c r="A47" s="1">
        <v>1046</v>
      </c>
      <c r="B47" t="s">
        <v>109</v>
      </c>
      <c r="C47" t="s">
        <v>20</v>
      </c>
      <c r="D47" s="1">
        <v>27</v>
      </c>
      <c r="E47" t="s">
        <v>32</v>
      </c>
      <c r="F47" t="s">
        <v>41</v>
      </c>
      <c r="G47" t="s">
        <v>16</v>
      </c>
      <c r="H47" s="1">
        <v>6</v>
      </c>
      <c r="I47">
        <v>65000</v>
      </c>
      <c r="J47">
        <f t="shared" si="1"/>
        <v>390000</v>
      </c>
      <c r="K47" t="s">
        <v>71</v>
      </c>
      <c r="L47" t="s">
        <v>18</v>
      </c>
    </row>
    <row r="48" spans="1:12" x14ac:dyDescent="0.25">
      <c r="A48" s="1">
        <v>1047</v>
      </c>
      <c r="B48" t="s">
        <v>110</v>
      </c>
      <c r="C48" t="s">
        <v>13</v>
      </c>
      <c r="D48" s="1">
        <v>28</v>
      </c>
      <c r="E48" t="s">
        <v>36</v>
      </c>
      <c r="F48" t="s">
        <v>44</v>
      </c>
      <c r="G48" t="s">
        <v>28</v>
      </c>
      <c r="H48" s="1">
        <v>7</v>
      </c>
      <c r="I48">
        <v>55000</v>
      </c>
      <c r="J48">
        <f t="shared" si="1"/>
        <v>385000</v>
      </c>
      <c r="K48" t="s">
        <v>73</v>
      </c>
      <c r="L48" t="s">
        <v>24</v>
      </c>
    </row>
    <row r="49" spans="1:12" x14ac:dyDescent="0.25">
      <c r="A49" s="1">
        <v>1048</v>
      </c>
      <c r="B49" t="s">
        <v>111</v>
      </c>
      <c r="C49" t="s">
        <v>20</v>
      </c>
      <c r="D49" s="1">
        <v>29</v>
      </c>
      <c r="E49" t="s">
        <v>40</v>
      </c>
      <c r="F49" t="s">
        <v>47</v>
      </c>
      <c r="G49" t="s">
        <v>48</v>
      </c>
      <c r="H49" s="1">
        <v>8</v>
      </c>
      <c r="I49">
        <v>25000</v>
      </c>
      <c r="J49">
        <f t="shared" si="1"/>
        <v>200000</v>
      </c>
      <c r="K49" t="s">
        <v>75</v>
      </c>
      <c r="L49" t="s">
        <v>30</v>
      </c>
    </row>
    <row r="50" spans="1:12" x14ac:dyDescent="0.25">
      <c r="A50" s="1">
        <v>1049</v>
      </c>
      <c r="B50" t="s">
        <v>112</v>
      </c>
      <c r="C50" t="s">
        <v>13</v>
      </c>
      <c r="D50" s="1">
        <v>30</v>
      </c>
      <c r="E50" t="s">
        <v>14</v>
      </c>
      <c r="F50" t="s">
        <v>51</v>
      </c>
      <c r="G50" t="s">
        <v>48</v>
      </c>
      <c r="H50" s="1">
        <v>9</v>
      </c>
      <c r="I50">
        <v>15000</v>
      </c>
      <c r="J50">
        <f t="shared" si="1"/>
        <v>135000</v>
      </c>
      <c r="K50" t="s">
        <v>77</v>
      </c>
      <c r="L50" t="s">
        <v>18</v>
      </c>
    </row>
    <row r="51" spans="1:12" x14ac:dyDescent="0.25">
      <c r="A51" s="1">
        <v>1050</v>
      </c>
      <c r="B51" t="s">
        <v>113</v>
      </c>
      <c r="C51" t="s">
        <v>20</v>
      </c>
      <c r="D51" s="1">
        <v>31</v>
      </c>
      <c r="E51" t="s">
        <v>21</v>
      </c>
      <c r="F51" t="s">
        <v>54</v>
      </c>
      <c r="G51" t="s">
        <v>48</v>
      </c>
      <c r="H51" s="1">
        <v>10</v>
      </c>
      <c r="I51">
        <v>12000</v>
      </c>
      <c r="J51">
        <f t="shared" si="1"/>
        <v>120000</v>
      </c>
      <c r="K51" t="s">
        <v>79</v>
      </c>
      <c r="L51" t="s">
        <v>24</v>
      </c>
    </row>
    <row r="53" spans="1:12" x14ac:dyDescent="0.25">
      <c r="A53" s="4"/>
    </row>
    <row r="54" spans="1:12" x14ac:dyDescent="0.25">
      <c r="A54" s="4" t="s">
        <v>114</v>
      </c>
      <c r="C54" s="1">
        <f>SUM(J2:J51)</f>
        <v>15700000</v>
      </c>
    </row>
    <row r="55" spans="1:12" x14ac:dyDescent="0.25">
      <c r="A55" s="4" t="s">
        <v>115</v>
      </c>
      <c r="C55" s="1">
        <f>SUM(J2:J51)</f>
        <v>15700000</v>
      </c>
    </row>
    <row r="56" spans="1:12" x14ac:dyDescent="0.25">
      <c r="A56" s="4" t="s">
        <v>116</v>
      </c>
      <c r="C56" s="1" t="s">
        <v>117</v>
      </c>
    </row>
    <row r="57" spans="1:12" x14ac:dyDescent="0.25">
      <c r="A57" s="4" t="s">
        <v>118</v>
      </c>
      <c r="C57" s="1" t="s">
        <v>119</v>
      </c>
    </row>
    <row r="58" spans="1:12" x14ac:dyDescent="0.25">
      <c r="A58" s="4" t="s">
        <v>120</v>
      </c>
      <c r="C58" s="1" t="s">
        <v>133</v>
      </c>
    </row>
    <row r="59" spans="1:12" x14ac:dyDescent="0.25">
      <c r="A59" s="4" t="s">
        <v>121</v>
      </c>
      <c r="C59" s="1" t="s">
        <v>16</v>
      </c>
    </row>
    <row r="60" spans="1:12" x14ac:dyDescent="0.25">
      <c r="A60" s="4" t="s">
        <v>122</v>
      </c>
      <c r="C60" s="1" t="s">
        <v>134</v>
      </c>
    </row>
    <row r="61" spans="1:12" x14ac:dyDescent="0.25">
      <c r="A61" s="4" t="s">
        <v>132</v>
      </c>
      <c r="C61" s="1">
        <f>AVERAGE(D2:D51)</f>
        <v>30.5</v>
      </c>
    </row>
    <row r="62" spans="1:12" x14ac:dyDescent="0.25">
      <c r="A62" s="4" t="s">
        <v>131</v>
      </c>
      <c r="C62" s="1">
        <f>COUNTA(B2:B51)</f>
        <v>50</v>
      </c>
    </row>
    <row r="63" spans="1:12" x14ac:dyDescent="0.25">
      <c r="A63" s="4" t="s">
        <v>135</v>
      </c>
      <c r="C63" s="1">
        <f>SUM(I2:I51)</f>
        <v>5435000</v>
      </c>
    </row>
    <row r="64" spans="1:12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</sheetData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{30210B78-6C69-4445-B423-0B08919F56E6}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210B78-6C69-4445-B423-0B08919F56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madufor christian</cp:lastModifiedBy>
  <dcterms:created xsi:type="dcterms:W3CDTF">2026-07-10T21:07:04Z</dcterms:created>
  <dcterms:modified xsi:type="dcterms:W3CDTF">2026-07-11T17:21:44Z</dcterms:modified>
</cp:coreProperties>
</file>